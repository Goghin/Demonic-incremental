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ab-my.sharepoint.com/personal/jakob_hylander_entab_se/Documents/Documents/demon-dimension/"/>
    </mc:Choice>
  </mc:AlternateContent>
  <xr:revisionPtr revIDLastSave="2" documentId="8_{B8DCDBED-EFD3-471E-99F6-A9519CEDA017}" xr6:coauthVersionLast="47" xr6:coauthVersionMax="47" xr10:uidLastSave="{D66644DB-1049-445A-BFA8-F78CAE26927B}"/>
  <bookViews>
    <workbookView xWindow="-108" yWindow="-108" windowWidth="23256" windowHeight="12456" xr2:uid="{EFFF6FBA-9E2B-451C-AC55-BE0BE14A2911}"/>
  </bookViews>
  <sheets>
    <sheet name="Base rates" sheetId="2" r:id="rId1"/>
    <sheet name="Atomic friction" sheetId="3" r:id="rId2"/>
    <sheet name="Molecular Agitation" sheetId="4" r:id="rId3"/>
    <sheet name="Lava Mites" sheetId="5" r:id="rId4"/>
    <sheet name="Infernal Condensation" sheetId="6" r:id="rId5"/>
    <sheet name="Blad7" sheetId="7" r:id="rId6"/>
    <sheet name="Blad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4" i="5" l="1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12" i="5"/>
  <c r="R13" i="5"/>
  <c r="R11" i="5"/>
  <c r="N331" i="6"/>
  <c r="N330" i="6"/>
  <c r="N329" i="6"/>
  <c r="N328" i="6"/>
  <c r="O328" i="6" s="1"/>
  <c r="N327" i="6"/>
  <c r="N326" i="6"/>
  <c r="N325" i="6"/>
  <c r="N324" i="6"/>
  <c r="N323" i="6"/>
  <c r="N322" i="6"/>
  <c r="O322" i="6" s="1"/>
  <c r="N321" i="6"/>
  <c r="N320" i="6"/>
  <c r="N319" i="6"/>
  <c r="N318" i="6"/>
  <c r="N317" i="6"/>
  <c r="N316" i="6"/>
  <c r="N315" i="6"/>
  <c r="N314" i="6"/>
  <c r="N313" i="6"/>
  <c r="N312" i="6"/>
  <c r="N311" i="6"/>
  <c r="N310" i="6"/>
  <c r="O310" i="6" s="1"/>
  <c r="N309" i="6"/>
  <c r="N308" i="6"/>
  <c r="O308" i="6" s="1"/>
  <c r="N307" i="6"/>
  <c r="N306" i="6"/>
  <c r="N305" i="6"/>
  <c r="N304" i="6"/>
  <c r="N303" i="6"/>
  <c r="N302" i="6"/>
  <c r="N301" i="6"/>
  <c r="O301" i="6" s="1"/>
  <c r="N300" i="6"/>
  <c r="N299" i="6"/>
  <c r="O299" i="6" s="1"/>
  <c r="N298" i="6"/>
  <c r="N297" i="6"/>
  <c r="N296" i="6"/>
  <c r="N295" i="6"/>
  <c r="N294" i="6"/>
  <c r="N293" i="6"/>
  <c r="N292" i="6"/>
  <c r="N291" i="6"/>
  <c r="N290" i="6"/>
  <c r="N289" i="6"/>
  <c r="O289" i="6" s="1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O274" i="6" s="1"/>
  <c r="N273" i="6"/>
  <c r="N272" i="6"/>
  <c r="O272" i="6" s="1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O250" i="6" s="1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O236" i="6" s="1"/>
  <c r="N235" i="6"/>
  <c r="N234" i="6"/>
  <c r="N233" i="6"/>
  <c r="N232" i="6"/>
  <c r="N231" i="6"/>
  <c r="N230" i="6"/>
  <c r="N229" i="6"/>
  <c r="N228" i="6"/>
  <c r="N227" i="6"/>
  <c r="N226" i="6"/>
  <c r="O226" i="6" s="1"/>
  <c r="N225" i="6"/>
  <c r="N224" i="6"/>
  <c r="N223" i="6"/>
  <c r="N222" i="6"/>
  <c r="N221" i="6"/>
  <c r="N220" i="6"/>
  <c r="N219" i="6"/>
  <c r="N218" i="6"/>
  <c r="N217" i="6"/>
  <c r="N216" i="6"/>
  <c r="N215" i="6"/>
  <c r="N214" i="6"/>
  <c r="O214" i="6" s="1"/>
  <c r="N213" i="6"/>
  <c r="N212" i="6"/>
  <c r="N211" i="6"/>
  <c r="N210" i="6"/>
  <c r="N209" i="6"/>
  <c r="N208" i="6"/>
  <c r="N207" i="6"/>
  <c r="N206" i="6"/>
  <c r="N205" i="6"/>
  <c r="O205" i="6" s="1"/>
  <c r="N204" i="6"/>
  <c r="N203" i="6"/>
  <c r="N202" i="6"/>
  <c r="O202" i="6" s="1"/>
  <c r="N201" i="6"/>
  <c r="N200" i="6"/>
  <c r="O200" i="6" s="1"/>
  <c r="N199" i="6"/>
  <c r="N198" i="6"/>
  <c r="N197" i="6"/>
  <c r="N196" i="6"/>
  <c r="N195" i="6"/>
  <c r="N194" i="6"/>
  <c r="N193" i="6"/>
  <c r="O193" i="6" s="1"/>
  <c r="N192" i="6"/>
  <c r="N191" i="6"/>
  <c r="O191" i="6" s="1"/>
  <c r="N190" i="6"/>
  <c r="N189" i="6"/>
  <c r="N188" i="6"/>
  <c r="N187" i="6"/>
  <c r="N186" i="6"/>
  <c r="N185" i="6"/>
  <c r="N184" i="6"/>
  <c r="N183" i="6"/>
  <c r="N182" i="6"/>
  <c r="N181" i="6"/>
  <c r="O181" i="6" s="1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O166" i="6" s="1"/>
  <c r="N165" i="6"/>
  <c r="N164" i="6"/>
  <c r="O164" i="6" s="1"/>
  <c r="N163" i="6"/>
  <c r="N162" i="6"/>
  <c r="N161" i="6"/>
  <c r="N160" i="6"/>
  <c r="N159" i="6"/>
  <c r="N158" i="6"/>
  <c r="N157" i="6"/>
  <c r="N156" i="6"/>
  <c r="N155" i="6"/>
  <c r="O155" i="6" s="1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O142" i="6" s="1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O128" i="6" s="1"/>
  <c r="N127" i="6"/>
  <c r="N126" i="6"/>
  <c r="N125" i="6"/>
  <c r="N124" i="6"/>
  <c r="N123" i="6"/>
  <c r="N122" i="6"/>
  <c r="N121" i="6"/>
  <c r="N120" i="6"/>
  <c r="N119" i="6"/>
  <c r="N118" i="6"/>
  <c r="O118" i="6" s="1"/>
  <c r="N117" i="6"/>
  <c r="N116" i="6"/>
  <c r="N115" i="6"/>
  <c r="N114" i="6"/>
  <c r="N113" i="6"/>
  <c r="N112" i="6"/>
  <c r="N111" i="6"/>
  <c r="N110" i="6"/>
  <c r="N109" i="6"/>
  <c r="N108" i="6"/>
  <c r="N107" i="6"/>
  <c r="N106" i="6"/>
  <c r="O106" i="6" s="1"/>
  <c r="N105" i="6"/>
  <c r="N104" i="6"/>
  <c r="N103" i="6"/>
  <c r="N102" i="6"/>
  <c r="N101" i="6"/>
  <c r="N100" i="6"/>
  <c r="N99" i="6"/>
  <c r="N98" i="6"/>
  <c r="N97" i="6"/>
  <c r="O97" i="6" s="1"/>
  <c r="N96" i="6"/>
  <c r="N95" i="6"/>
  <c r="N94" i="6"/>
  <c r="O94" i="6" s="1"/>
  <c r="N93" i="6"/>
  <c r="N92" i="6"/>
  <c r="O92" i="6" s="1"/>
  <c r="N91" i="6"/>
  <c r="N90" i="6"/>
  <c r="N89" i="6"/>
  <c r="N88" i="6"/>
  <c r="N87" i="6"/>
  <c r="N86" i="6"/>
  <c r="N85" i="6"/>
  <c r="N84" i="6"/>
  <c r="N83" i="6"/>
  <c r="O83" i="6" s="1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O70" i="6" s="1"/>
  <c r="N69" i="6"/>
  <c r="N68" i="6"/>
  <c r="N67" i="6"/>
  <c r="N66" i="6"/>
  <c r="N65" i="6"/>
  <c r="N64" i="6"/>
  <c r="N63" i="6"/>
  <c r="N62" i="6"/>
  <c r="N61" i="6"/>
  <c r="N60" i="6"/>
  <c r="N59" i="6"/>
  <c r="N58" i="6"/>
  <c r="O58" i="6" s="1"/>
  <c r="N57" i="6"/>
  <c r="N56" i="6"/>
  <c r="N55" i="6"/>
  <c r="N54" i="6"/>
  <c r="N53" i="6"/>
  <c r="N52" i="6"/>
  <c r="O52" i="6" s="1"/>
  <c r="N51" i="6"/>
  <c r="N50" i="6"/>
  <c r="N49" i="6"/>
  <c r="N48" i="6"/>
  <c r="N47" i="6"/>
  <c r="N46" i="6"/>
  <c r="O46" i="6" s="1"/>
  <c r="N45" i="6"/>
  <c r="N44" i="6"/>
  <c r="N43" i="6"/>
  <c r="N42" i="6"/>
  <c r="N41" i="6"/>
  <c r="N40" i="6"/>
  <c r="N39" i="6"/>
  <c r="N38" i="6"/>
  <c r="N37" i="6"/>
  <c r="O37" i="6" s="1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O16" i="6" s="1"/>
  <c r="N15" i="6"/>
  <c r="N14" i="6"/>
  <c r="N13" i="6"/>
  <c r="N12" i="6"/>
  <c r="N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11" i="6"/>
  <c r="Q331" i="6"/>
  <c r="L331" i="6"/>
  <c r="O331" i="6" s="1"/>
  <c r="Q330" i="6"/>
  <c r="L330" i="6"/>
  <c r="O330" i="6" s="1"/>
  <c r="Q329" i="6"/>
  <c r="L329" i="6"/>
  <c r="Q328" i="6"/>
  <c r="L328" i="6"/>
  <c r="Q327" i="6"/>
  <c r="L327" i="6"/>
  <c r="O327" i="6" s="1"/>
  <c r="Q326" i="6"/>
  <c r="L326" i="6"/>
  <c r="O326" i="6" s="1"/>
  <c r="Q325" i="6"/>
  <c r="L325" i="6"/>
  <c r="O325" i="6" s="1"/>
  <c r="Q324" i="6"/>
  <c r="L324" i="6"/>
  <c r="Q323" i="6"/>
  <c r="L323" i="6"/>
  <c r="Q322" i="6"/>
  <c r="L322" i="6"/>
  <c r="Q321" i="6"/>
  <c r="L321" i="6"/>
  <c r="Q320" i="6"/>
  <c r="L320" i="6"/>
  <c r="Q319" i="6"/>
  <c r="L319" i="6"/>
  <c r="O319" i="6" s="1"/>
  <c r="Q318" i="6"/>
  <c r="L318" i="6"/>
  <c r="Q317" i="6"/>
  <c r="L317" i="6"/>
  <c r="O317" i="6" s="1"/>
  <c r="Q316" i="6"/>
  <c r="L316" i="6"/>
  <c r="O316" i="6" s="1"/>
  <c r="Q315" i="6"/>
  <c r="L315" i="6"/>
  <c r="O315" i="6" s="1"/>
  <c r="Q314" i="6"/>
  <c r="L314" i="6"/>
  <c r="O314" i="6" s="1"/>
  <c r="Q313" i="6"/>
  <c r="L313" i="6"/>
  <c r="Q312" i="6"/>
  <c r="L312" i="6"/>
  <c r="Q311" i="6"/>
  <c r="L311" i="6"/>
  <c r="Q310" i="6"/>
  <c r="L310" i="6"/>
  <c r="Q309" i="6"/>
  <c r="L309" i="6"/>
  <c r="Q308" i="6"/>
  <c r="L308" i="6"/>
  <c r="Q307" i="6"/>
  <c r="O307" i="6"/>
  <c r="L307" i="6"/>
  <c r="Q306" i="6"/>
  <c r="L306" i="6"/>
  <c r="O306" i="6" s="1"/>
  <c r="Q305" i="6"/>
  <c r="L305" i="6"/>
  <c r="O305" i="6" s="1"/>
  <c r="Q304" i="6"/>
  <c r="L304" i="6"/>
  <c r="Q303" i="6"/>
  <c r="L303" i="6"/>
  <c r="Q302" i="6"/>
  <c r="L302" i="6"/>
  <c r="Q301" i="6"/>
  <c r="L301" i="6"/>
  <c r="Q300" i="6"/>
  <c r="L300" i="6"/>
  <c r="O300" i="6" s="1"/>
  <c r="Q299" i="6"/>
  <c r="L299" i="6"/>
  <c r="Q298" i="6"/>
  <c r="L298" i="6"/>
  <c r="O298" i="6" s="1"/>
  <c r="Q297" i="6"/>
  <c r="L297" i="6"/>
  <c r="Q296" i="6"/>
  <c r="L296" i="6"/>
  <c r="Q295" i="6"/>
  <c r="L295" i="6"/>
  <c r="O295" i="6" s="1"/>
  <c r="Q294" i="6"/>
  <c r="L294" i="6"/>
  <c r="O294" i="6" s="1"/>
  <c r="Q293" i="6"/>
  <c r="L293" i="6"/>
  <c r="O293" i="6" s="1"/>
  <c r="Q292" i="6"/>
  <c r="L292" i="6"/>
  <c r="O292" i="6" s="1"/>
  <c r="Q291" i="6"/>
  <c r="L291" i="6"/>
  <c r="O291" i="6" s="1"/>
  <c r="Q290" i="6"/>
  <c r="L290" i="6"/>
  <c r="O290" i="6" s="1"/>
  <c r="Q289" i="6"/>
  <c r="L289" i="6"/>
  <c r="Q288" i="6"/>
  <c r="L288" i="6"/>
  <c r="O288" i="6" s="1"/>
  <c r="Q287" i="6"/>
  <c r="L287" i="6"/>
  <c r="Q286" i="6"/>
  <c r="L286" i="6"/>
  <c r="Q285" i="6"/>
  <c r="L285" i="6"/>
  <c r="Q284" i="6"/>
  <c r="L284" i="6"/>
  <c r="Q283" i="6"/>
  <c r="L283" i="6"/>
  <c r="O283" i="6" s="1"/>
  <c r="Q282" i="6"/>
  <c r="L282" i="6"/>
  <c r="Q281" i="6"/>
  <c r="L281" i="6"/>
  <c r="O281" i="6" s="1"/>
  <c r="Q280" i="6"/>
  <c r="O280" i="6"/>
  <c r="L280" i="6"/>
  <c r="Q279" i="6"/>
  <c r="L279" i="6"/>
  <c r="Q278" i="6"/>
  <c r="L278" i="6"/>
  <c r="Q277" i="6"/>
  <c r="L277" i="6"/>
  <c r="O277" i="6" s="1"/>
  <c r="Q276" i="6"/>
  <c r="L276" i="6"/>
  <c r="Q275" i="6"/>
  <c r="L275" i="6"/>
  <c r="Q274" i="6"/>
  <c r="L274" i="6"/>
  <c r="Q273" i="6"/>
  <c r="L273" i="6"/>
  <c r="Q272" i="6"/>
  <c r="L272" i="6"/>
  <c r="Q271" i="6"/>
  <c r="L271" i="6"/>
  <c r="O271" i="6" s="1"/>
  <c r="Q270" i="6"/>
  <c r="L270" i="6"/>
  <c r="O270" i="6" s="1"/>
  <c r="Q269" i="6"/>
  <c r="L269" i="6"/>
  <c r="Q268" i="6"/>
  <c r="L268" i="6"/>
  <c r="O268" i="6" s="1"/>
  <c r="Q267" i="6"/>
  <c r="L267" i="6"/>
  <c r="O267" i="6" s="1"/>
  <c r="Q266" i="6"/>
  <c r="L266" i="6"/>
  <c r="Q265" i="6"/>
  <c r="L265" i="6"/>
  <c r="Q264" i="6"/>
  <c r="L264" i="6"/>
  <c r="Q263" i="6"/>
  <c r="L263" i="6"/>
  <c r="O263" i="6" s="1"/>
  <c r="Q262" i="6"/>
  <c r="L262" i="6"/>
  <c r="O262" i="6" s="1"/>
  <c r="Q261" i="6"/>
  <c r="L261" i="6"/>
  <c r="Q260" i="6"/>
  <c r="L260" i="6"/>
  <c r="Q259" i="6"/>
  <c r="O259" i="6"/>
  <c r="L259" i="6"/>
  <c r="Q258" i="6"/>
  <c r="L258" i="6"/>
  <c r="O258" i="6" s="1"/>
  <c r="Q257" i="6"/>
  <c r="L257" i="6"/>
  <c r="O257" i="6" s="1"/>
  <c r="Q256" i="6"/>
  <c r="L256" i="6"/>
  <c r="O256" i="6" s="1"/>
  <c r="Q255" i="6"/>
  <c r="L255" i="6"/>
  <c r="Q254" i="6"/>
  <c r="L254" i="6"/>
  <c r="Q253" i="6"/>
  <c r="L253" i="6"/>
  <c r="O253" i="6" s="1"/>
  <c r="Q252" i="6"/>
  <c r="L252" i="6"/>
  <c r="O252" i="6" s="1"/>
  <c r="Q251" i="6"/>
  <c r="L251" i="6"/>
  <c r="Q250" i="6"/>
  <c r="L250" i="6"/>
  <c r="Q249" i="6"/>
  <c r="L249" i="6"/>
  <c r="Q248" i="6"/>
  <c r="L248" i="6"/>
  <c r="Q247" i="6"/>
  <c r="L247" i="6"/>
  <c r="O247" i="6" s="1"/>
  <c r="Q246" i="6"/>
  <c r="L246" i="6"/>
  <c r="Q245" i="6"/>
  <c r="L245" i="6"/>
  <c r="Q244" i="6"/>
  <c r="L244" i="6"/>
  <c r="Q243" i="6"/>
  <c r="L243" i="6"/>
  <c r="O243" i="6" s="1"/>
  <c r="Q242" i="6"/>
  <c r="L242" i="6"/>
  <c r="O242" i="6" s="1"/>
  <c r="Q241" i="6"/>
  <c r="O241" i="6"/>
  <c r="L241" i="6"/>
  <c r="Q240" i="6"/>
  <c r="L240" i="6"/>
  <c r="Q239" i="6"/>
  <c r="L239" i="6"/>
  <c r="Q238" i="6"/>
  <c r="L238" i="6"/>
  <c r="Q237" i="6"/>
  <c r="L237" i="6"/>
  <c r="Q236" i="6"/>
  <c r="L236" i="6"/>
  <c r="Q235" i="6"/>
  <c r="L235" i="6"/>
  <c r="O235" i="6" s="1"/>
  <c r="Q234" i="6"/>
  <c r="L234" i="6"/>
  <c r="O234" i="6" s="1"/>
  <c r="Q233" i="6"/>
  <c r="L233" i="6"/>
  <c r="O233" i="6" s="1"/>
  <c r="Q232" i="6"/>
  <c r="O232" i="6"/>
  <c r="L232" i="6"/>
  <c r="Q231" i="6"/>
  <c r="L231" i="6"/>
  <c r="Q230" i="6"/>
  <c r="L230" i="6"/>
  <c r="Q229" i="6"/>
  <c r="L229" i="6"/>
  <c r="Q228" i="6"/>
  <c r="L228" i="6"/>
  <c r="O228" i="6" s="1"/>
  <c r="Q227" i="6"/>
  <c r="O227" i="6"/>
  <c r="L227" i="6"/>
  <c r="Q226" i="6"/>
  <c r="L226" i="6"/>
  <c r="Q225" i="6"/>
  <c r="L225" i="6"/>
  <c r="Q224" i="6"/>
  <c r="L224" i="6"/>
  <c r="Q223" i="6"/>
  <c r="L223" i="6"/>
  <c r="O223" i="6" s="1"/>
  <c r="Q222" i="6"/>
  <c r="L222" i="6"/>
  <c r="O222" i="6" s="1"/>
  <c r="Q221" i="6"/>
  <c r="L221" i="6"/>
  <c r="Q220" i="6"/>
  <c r="L220" i="6"/>
  <c r="Q219" i="6"/>
  <c r="L219" i="6"/>
  <c r="Q218" i="6"/>
  <c r="L218" i="6"/>
  <c r="O218" i="6" s="1"/>
  <c r="Q217" i="6"/>
  <c r="L217" i="6"/>
  <c r="O217" i="6" s="1"/>
  <c r="Q216" i="6"/>
  <c r="L216" i="6"/>
  <c r="Q215" i="6"/>
  <c r="L215" i="6"/>
  <c r="Q214" i="6"/>
  <c r="L214" i="6"/>
  <c r="Q213" i="6"/>
  <c r="L213" i="6"/>
  <c r="Q212" i="6"/>
  <c r="L212" i="6"/>
  <c r="Q211" i="6"/>
  <c r="L211" i="6"/>
  <c r="O211" i="6" s="1"/>
  <c r="Q210" i="6"/>
  <c r="L210" i="6"/>
  <c r="Q209" i="6"/>
  <c r="L209" i="6"/>
  <c r="O209" i="6" s="1"/>
  <c r="Q208" i="6"/>
  <c r="L208" i="6"/>
  <c r="O208" i="6" s="1"/>
  <c r="Q207" i="6"/>
  <c r="L207" i="6"/>
  <c r="O207" i="6" s="1"/>
  <c r="Q206" i="6"/>
  <c r="L206" i="6"/>
  <c r="O206" i="6" s="1"/>
  <c r="Q205" i="6"/>
  <c r="L205" i="6"/>
  <c r="Q204" i="6"/>
  <c r="L204" i="6"/>
  <c r="Q203" i="6"/>
  <c r="L203" i="6"/>
  <c r="Q202" i="6"/>
  <c r="L202" i="6"/>
  <c r="Q201" i="6"/>
  <c r="L201" i="6"/>
  <c r="Q200" i="6"/>
  <c r="L200" i="6"/>
  <c r="Q199" i="6"/>
  <c r="O199" i="6"/>
  <c r="L199" i="6"/>
  <c r="Q198" i="6"/>
  <c r="L198" i="6"/>
  <c r="O198" i="6" s="1"/>
  <c r="Q197" i="6"/>
  <c r="L197" i="6"/>
  <c r="O197" i="6" s="1"/>
  <c r="Q196" i="6"/>
  <c r="L196" i="6"/>
  <c r="Q195" i="6"/>
  <c r="L195" i="6"/>
  <c r="Q194" i="6"/>
  <c r="L194" i="6"/>
  <c r="Q193" i="6"/>
  <c r="L193" i="6"/>
  <c r="Q192" i="6"/>
  <c r="L192" i="6"/>
  <c r="Q191" i="6"/>
  <c r="L191" i="6"/>
  <c r="Q190" i="6"/>
  <c r="L190" i="6"/>
  <c r="O190" i="6" s="1"/>
  <c r="Q189" i="6"/>
  <c r="L189" i="6"/>
  <c r="Q188" i="6"/>
  <c r="L188" i="6"/>
  <c r="Q187" i="6"/>
  <c r="O187" i="6"/>
  <c r="L187" i="6"/>
  <c r="Q186" i="6"/>
  <c r="L186" i="6"/>
  <c r="O186" i="6" s="1"/>
  <c r="Q185" i="6"/>
  <c r="L185" i="6"/>
  <c r="O185" i="6" s="1"/>
  <c r="Q184" i="6"/>
  <c r="L184" i="6"/>
  <c r="O184" i="6" s="1"/>
  <c r="Q183" i="6"/>
  <c r="L183" i="6"/>
  <c r="Q182" i="6"/>
  <c r="L182" i="6"/>
  <c r="O182" i="6" s="1"/>
  <c r="Q181" i="6"/>
  <c r="L181" i="6"/>
  <c r="Q180" i="6"/>
  <c r="L180" i="6"/>
  <c r="O180" i="6" s="1"/>
  <c r="Q179" i="6"/>
  <c r="L179" i="6"/>
  <c r="O179" i="6" s="1"/>
  <c r="Q178" i="6"/>
  <c r="L178" i="6"/>
  <c r="Q177" i="6"/>
  <c r="L177" i="6"/>
  <c r="Q176" i="6"/>
  <c r="L176" i="6"/>
  <c r="Q175" i="6"/>
  <c r="L175" i="6"/>
  <c r="O175" i="6" s="1"/>
  <c r="Q174" i="6"/>
  <c r="L174" i="6"/>
  <c r="Q173" i="6"/>
  <c r="L173" i="6"/>
  <c r="O173" i="6" s="1"/>
  <c r="Q172" i="6"/>
  <c r="O172" i="6"/>
  <c r="L172" i="6"/>
  <c r="Q171" i="6"/>
  <c r="L171" i="6"/>
  <c r="Q170" i="6"/>
  <c r="L170" i="6"/>
  <c r="Q169" i="6"/>
  <c r="L169" i="6"/>
  <c r="O169" i="6" s="1"/>
  <c r="Q168" i="6"/>
  <c r="L168" i="6"/>
  <c r="Q167" i="6"/>
  <c r="L167" i="6"/>
  <c r="Q166" i="6"/>
  <c r="L166" i="6"/>
  <c r="Q165" i="6"/>
  <c r="L165" i="6"/>
  <c r="Q164" i="6"/>
  <c r="L164" i="6"/>
  <c r="Q163" i="6"/>
  <c r="L163" i="6"/>
  <c r="O163" i="6" s="1"/>
  <c r="Q162" i="6"/>
  <c r="L162" i="6"/>
  <c r="O162" i="6" s="1"/>
  <c r="Q161" i="6"/>
  <c r="L161" i="6"/>
  <c r="Q160" i="6"/>
  <c r="O160" i="6"/>
  <c r="L160" i="6"/>
  <c r="Q159" i="6"/>
  <c r="L159" i="6"/>
  <c r="O159" i="6" s="1"/>
  <c r="Q158" i="6"/>
  <c r="L158" i="6"/>
  <c r="Q157" i="6"/>
  <c r="L157" i="6"/>
  <c r="Q156" i="6"/>
  <c r="L156" i="6"/>
  <c r="Q155" i="6"/>
  <c r="L155" i="6"/>
  <c r="Q154" i="6"/>
  <c r="L154" i="6"/>
  <c r="O154" i="6" s="1"/>
  <c r="Q153" i="6"/>
  <c r="L153" i="6"/>
  <c r="Q152" i="6"/>
  <c r="L152" i="6"/>
  <c r="Q151" i="6"/>
  <c r="O151" i="6"/>
  <c r="L151" i="6"/>
  <c r="Q150" i="6"/>
  <c r="L150" i="6"/>
  <c r="O150" i="6" s="1"/>
  <c r="Q149" i="6"/>
  <c r="L149" i="6"/>
  <c r="O149" i="6" s="1"/>
  <c r="Q148" i="6"/>
  <c r="L148" i="6"/>
  <c r="O148" i="6" s="1"/>
  <c r="Q147" i="6"/>
  <c r="L147" i="6"/>
  <c r="Q146" i="6"/>
  <c r="L146" i="6"/>
  <c r="Q145" i="6"/>
  <c r="L145" i="6"/>
  <c r="O145" i="6" s="1"/>
  <c r="Q144" i="6"/>
  <c r="L144" i="6"/>
  <c r="O144" i="6" s="1"/>
  <c r="Q143" i="6"/>
  <c r="L143" i="6"/>
  <c r="Q142" i="6"/>
  <c r="L142" i="6"/>
  <c r="Q141" i="6"/>
  <c r="L141" i="6"/>
  <c r="Q140" i="6"/>
  <c r="L140" i="6"/>
  <c r="Q139" i="6"/>
  <c r="L139" i="6"/>
  <c r="O139" i="6" s="1"/>
  <c r="Q138" i="6"/>
  <c r="L138" i="6"/>
  <c r="Q137" i="6"/>
  <c r="L137" i="6"/>
  <c r="Q136" i="6"/>
  <c r="L136" i="6"/>
  <c r="Q135" i="6"/>
  <c r="L135" i="6"/>
  <c r="O135" i="6" s="1"/>
  <c r="Q134" i="6"/>
  <c r="L134" i="6"/>
  <c r="O134" i="6" s="1"/>
  <c r="Q133" i="6"/>
  <c r="O133" i="6"/>
  <c r="L133" i="6"/>
  <c r="Q132" i="6"/>
  <c r="L132" i="6"/>
  <c r="Q131" i="6"/>
  <c r="L131" i="6"/>
  <c r="Q130" i="6"/>
  <c r="L130" i="6"/>
  <c r="Q129" i="6"/>
  <c r="L129" i="6"/>
  <c r="Q128" i="6"/>
  <c r="L128" i="6"/>
  <c r="Q127" i="6"/>
  <c r="L127" i="6"/>
  <c r="O127" i="6" s="1"/>
  <c r="Q126" i="6"/>
  <c r="L126" i="6"/>
  <c r="O126" i="6" s="1"/>
  <c r="Q125" i="6"/>
  <c r="L125" i="6"/>
  <c r="O125" i="6" s="1"/>
  <c r="Q124" i="6"/>
  <c r="O124" i="6"/>
  <c r="L124" i="6"/>
  <c r="Q123" i="6"/>
  <c r="L123" i="6"/>
  <c r="O123" i="6" s="1"/>
  <c r="Q122" i="6"/>
  <c r="L122" i="6"/>
  <c r="Q121" i="6"/>
  <c r="L121" i="6"/>
  <c r="Q120" i="6"/>
  <c r="L120" i="6"/>
  <c r="Q119" i="6"/>
  <c r="O119" i="6"/>
  <c r="L119" i="6"/>
  <c r="Q118" i="6"/>
  <c r="L118" i="6"/>
  <c r="Q117" i="6"/>
  <c r="L117" i="6"/>
  <c r="Q116" i="6"/>
  <c r="L116" i="6"/>
  <c r="Q115" i="6"/>
  <c r="L115" i="6"/>
  <c r="O115" i="6" s="1"/>
  <c r="Q114" i="6"/>
  <c r="L114" i="6"/>
  <c r="O114" i="6" s="1"/>
  <c r="Q113" i="6"/>
  <c r="L113" i="6"/>
  <c r="Q112" i="6"/>
  <c r="L112" i="6"/>
  <c r="Q111" i="6"/>
  <c r="L111" i="6"/>
  <c r="Q110" i="6"/>
  <c r="L110" i="6"/>
  <c r="Q109" i="6"/>
  <c r="L109" i="6"/>
  <c r="O109" i="6" s="1"/>
  <c r="Q108" i="6"/>
  <c r="L108" i="6"/>
  <c r="Q107" i="6"/>
  <c r="L107" i="6"/>
  <c r="Q106" i="6"/>
  <c r="L106" i="6"/>
  <c r="Q105" i="6"/>
  <c r="L105" i="6"/>
  <c r="Q104" i="6"/>
  <c r="L104" i="6"/>
  <c r="Q103" i="6"/>
  <c r="L103" i="6"/>
  <c r="O103" i="6" s="1"/>
  <c r="Q102" i="6"/>
  <c r="L102" i="6"/>
  <c r="Q101" i="6"/>
  <c r="L101" i="6"/>
  <c r="O101" i="6" s="1"/>
  <c r="Q100" i="6"/>
  <c r="L100" i="6"/>
  <c r="O100" i="6" s="1"/>
  <c r="Q99" i="6"/>
  <c r="L99" i="6"/>
  <c r="O99" i="6" s="1"/>
  <c r="Q98" i="6"/>
  <c r="L98" i="6"/>
  <c r="O98" i="6" s="1"/>
  <c r="Q97" i="6"/>
  <c r="L97" i="6"/>
  <c r="Q96" i="6"/>
  <c r="L96" i="6"/>
  <c r="Q95" i="6"/>
  <c r="L95" i="6"/>
  <c r="Q94" i="6"/>
  <c r="L94" i="6"/>
  <c r="Q93" i="6"/>
  <c r="L93" i="6"/>
  <c r="Q92" i="6"/>
  <c r="L92" i="6"/>
  <c r="Q91" i="6"/>
  <c r="O91" i="6"/>
  <c r="L91" i="6"/>
  <c r="Q90" i="6"/>
  <c r="L90" i="6"/>
  <c r="O90" i="6" s="1"/>
  <c r="Q89" i="6"/>
  <c r="L89" i="6"/>
  <c r="O89" i="6" s="1"/>
  <c r="Q88" i="6"/>
  <c r="L88" i="6"/>
  <c r="Q87" i="6"/>
  <c r="L87" i="6"/>
  <c r="Q86" i="6"/>
  <c r="O86" i="6"/>
  <c r="L86" i="6"/>
  <c r="Q85" i="6"/>
  <c r="L85" i="6"/>
  <c r="Q84" i="6"/>
  <c r="L84" i="6"/>
  <c r="Q83" i="6"/>
  <c r="L83" i="6"/>
  <c r="Q82" i="6"/>
  <c r="L82" i="6"/>
  <c r="O82" i="6" s="1"/>
  <c r="Q81" i="6"/>
  <c r="L81" i="6"/>
  <c r="Q80" i="6"/>
  <c r="L80" i="6"/>
  <c r="Q79" i="6"/>
  <c r="L79" i="6"/>
  <c r="O79" i="6" s="1"/>
  <c r="Q78" i="6"/>
  <c r="L78" i="6"/>
  <c r="O78" i="6" s="1"/>
  <c r="Q77" i="6"/>
  <c r="L77" i="6"/>
  <c r="O77" i="6" s="1"/>
  <c r="Q76" i="6"/>
  <c r="O76" i="6"/>
  <c r="L76" i="6"/>
  <c r="Q75" i="6"/>
  <c r="L75" i="6"/>
  <c r="Q74" i="6"/>
  <c r="L74" i="6"/>
  <c r="Q73" i="6"/>
  <c r="L73" i="6"/>
  <c r="Q72" i="6"/>
  <c r="L72" i="6"/>
  <c r="O72" i="6" s="1"/>
  <c r="Q71" i="6"/>
  <c r="L71" i="6"/>
  <c r="O71" i="6" s="1"/>
  <c r="Q70" i="6"/>
  <c r="L70" i="6"/>
  <c r="Q69" i="6"/>
  <c r="L69" i="6"/>
  <c r="Q68" i="6"/>
  <c r="L68" i="6"/>
  <c r="Q67" i="6"/>
  <c r="L67" i="6"/>
  <c r="O67" i="6" s="1"/>
  <c r="Q66" i="6"/>
  <c r="L66" i="6"/>
  <c r="O66" i="6" s="1"/>
  <c r="Q65" i="6"/>
  <c r="L65" i="6"/>
  <c r="O65" i="6" s="1"/>
  <c r="Q64" i="6"/>
  <c r="L64" i="6"/>
  <c r="O64" i="6" s="1"/>
  <c r="Q63" i="6"/>
  <c r="L63" i="6"/>
  <c r="Q62" i="6"/>
  <c r="L62" i="6"/>
  <c r="Q61" i="6"/>
  <c r="L61" i="6"/>
  <c r="O61" i="6" s="1"/>
  <c r="Q60" i="6"/>
  <c r="L60" i="6"/>
  <c r="Q59" i="6"/>
  <c r="L59" i="6"/>
  <c r="Q58" i="6"/>
  <c r="L58" i="6"/>
  <c r="Q57" i="6"/>
  <c r="L57" i="6"/>
  <c r="Q56" i="6"/>
  <c r="L56" i="6"/>
  <c r="Q55" i="6"/>
  <c r="L55" i="6"/>
  <c r="O55" i="6" s="1"/>
  <c r="Q54" i="6"/>
  <c r="L54" i="6"/>
  <c r="O54" i="6" s="1"/>
  <c r="Q53" i="6"/>
  <c r="L53" i="6"/>
  <c r="Q52" i="6"/>
  <c r="L52" i="6"/>
  <c r="Q51" i="6"/>
  <c r="L51" i="6"/>
  <c r="O51" i="6" s="1"/>
  <c r="Q50" i="6"/>
  <c r="L50" i="6"/>
  <c r="O50" i="6" s="1"/>
  <c r="Q49" i="6"/>
  <c r="L49" i="6"/>
  <c r="O49" i="6" s="1"/>
  <c r="Q48" i="6"/>
  <c r="L48" i="6"/>
  <c r="Q47" i="6"/>
  <c r="L47" i="6"/>
  <c r="Q46" i="6"/>
  <c r="L46" i="6"/>
  <c r="Q45" i="6"/>
  <c r="L45" i="6"/>
  <c r="Q44" i="6"/>
  <c r="L44" i="6"/>
  <c r="O44" i="6" s="1"/>
  <c r="Q43" i="6"/>
  <c r="O43" i="6"/>
  <c r="L43" i="6"/>
  <c r="Q42" i="6"/>
  <c r="L42" i="6"/>
  <c r="O42" i="6" s="1"/>
  <c r="Q41" i="6"/>
  <c r="L41" i="6"/>
  <c r="O41" i="6" s="1"/>
  <c r="Q40" i="6"/>
  <c r="L40" i="6"/>
  <c r="O40" i="6" s="1"/>
  <c r="Q39" i="6"/>
  <c r="L39" i="6"/>
  <c r="O39" i="6" s="1"/>
  <c r="Q38" i="6"/>
  <c r="L38" i="6"/>
  <c r="Q37" i="6"/>
  <c r="L37" i="6"/>
  <c r="Q36" i="6"/>
  <c r="L36" i="6"/>
  <c r="Q35" i="6"/>
  <c r="L35" i="6"/>
  <c r="Q34" i="6"/>
  <c r="L34" i="6"/>
  <c r="O34" i="6" s="1"/>
  <c r="Q33" i="6"/>
  <c r="L33" i="6"/>
  <c r="Q32" i="6"/>
  <c r="L32" i="6"/>
  <c r="Q31" i="6"/>
  <c r="L31" i="6"/>
  <c r="O31" i="6" s="1"/>
  <c r="Q30" i="6"/>
  <c r="L30" i="6"/>
  <c r="O30" i="6" s="1"/>
  <c r="Q29" i="6"/>
  <c r="L29" i="6"/>
  <c r="O29" i="6" s="1"/>
  <c r="Q28" i="6"/>
  <c r="L28" i="6"/>
  <c r="O28" i="6" s="1"/>
  <c r="Q27" i="6"/>
  <c r="L27" i="6"/>
  <c r="Q26" i="6"/>
  <c r="L26" i="6"/>
  <c r="Q25" i="6"/>
  <c r="L25" i="6"/>
  <c r="O25" i="6" s="1"/>
  <c r="Q24" i="6"/>
  <c r="L24" i="6"/>
  <c r="O24" i="6" s="1"/>
  <c r="Q23" i="6"/>
  <c r="L23" i="6"/>
  <c r="O23" i="6" s="1"/>
  <c r="Q22" i="6"/>
  <c r="L22" i="6"/>
  <c r="Q21" i="6"/>
  <c r="L21" i="6"/>
  <c r="Q20" i="6"/>
  <c r="L20" i="6"/>
  <c r="Q19" i="6"/>
  <c r="L19" i="6"/>
  <c r="O19" i="6" s="1"/>
  <c r="Q18" i="6"/>
  <c r="L18" i="6"/>
  <c r="O18" i="6" s="1"/>
  <c r="Q17" i="6"/>
  <c r="L17" i="6"/>
  <c r="Q16" i="6"/>
  <c r="L16" i="6"/>
  <c r="Q15" i="6"/>
  <c r="L15" i="6"/>
  <c r="O15" i="6" s="1"/>
  <c r="Q14" i="6"/>
  <c r="L14" i="6"/>
  <c r="O14" i="6" s="1"/>
  <c r="Q13" i="6"/>
  <c r="L13" i="6"/>
  <c r="O13" i="6" s="1"/>
  <c r="Q12" i="6"/>
  <c r="L12" i="6"/>
  <c r="Q11" i="6"/>
  <c r="L11" i="6"/>
  <c r="L18" i="5"/>
  <c r="Q331" i="5"/>
  <c r="O331" i="5"/>
  <c r="N331" i="5"/>
  <c r="L331" i="5"/>
  <c r="Q330" i="5"/>
  <c r="N330" i="5"/>
  <c r="L330" i="5"/>
  <c r="O330" i="5" s="1"/>
  <c r="Q329" i="5"/>
  <c r="N329" i="5"/>
  <c r="L329" i="5"/>
  <c r="O329" i="5" s="1"/>
  <c r="Q328" i="5"/>
  <c r="N328" i="5"/>
  <c r="L328" i="5"/>
  <c r="O328" i="5" s="1"/>
  <c r="Q327" i="5"/>
  <c r="N327" i="5"/>
  <c r="L327" i="5"/>
  <c r="O327" i="5" s="1"/>
  <c r="Q326" i="5"/>
  <c r="N326" i="5"/>
  <c r="L326" i="5"/>
  <c r="O326" i="5" s="1"/>
  <c r="Q325" i="5"/>
  <c r="N325" i="5"/>
  <c r="L325" i="5"/>
  <c r="O325" i="5" s="1"/>
  <c r="Q324" i="5"/>
  <c r="N324" i="5"/>
  <c r="L324" i="5"/>
  <c r="O324" i="5" s="1"/>
  <c r="Q323" i="5"/>
  <c r="N323" i="5"/>
  <c r="L323" i="5"/>
  <c r="O323" i="5" s="1"/>
  <c r="Q322" i="5"/>
  <c r="N322" i="5"/>
  <c r="L322" i="5"/>
  <c r="O322" i="5" s="1"/>
  <c r="Q321" i="5"/>
  <c r="N321" i="5"/>
  <c r="L321" i="5"/>
  <c r="O321" i="5" s="1"/>
  <c r="Q320" i="5"/>
  <c r="N320" i="5"/>
  <c r="L320" i="5"/>
  <c r="O320" i="5" s="1"/>
  <c r="Q319" i="5"/>
  <c r="N319" i="5"/>
  <c r="L319" i="5"/>
  <c r="O319" i="5" s="1"/>
  <c r="Q318" i="5"/>
  <c r="N318" i="5"/>
  <c r="L318" i="5"/>
  <c r="O318" i="5" s="1"/>
  <c r="Q317" i="5"/>
  <c r="N317" i="5"/>
  <c r="L317" i="5"/>
  <c r="O317" i="5" s="1"/>
  <c r="Q316" i="5"/>
  <c r="N316" i="5"/>
  <c r="L316" i="5"/>
  <c r="O316" i="5" s="1"/>
  <c r="Q315" i="5"/>
  <c r="N315" i="5"/>
  <c r="L315" i="5"/>
  <c r="O315" i="5" s="1"/>
  <c r="Q314" i="5"/>
  <c r="N314" i="5"/>
  <c r="L314" i="5"/>
  <c r="O314" i="5" s="1"/>
  <c r="Q313" i="5"/>
  <c r="N313" i="5"/>
  <c r="L313" i="5"/>
  <c r="O313" i="5" s="1"/>
  <c r="Q312" i="5"/>
  <c r="N312" i="5"/>
  <c r="L312" i="5"/>
  <c r="O312" i="5" s="1"/>
  <c r="Q311" i="5"/>
  <c r="N311" i="5"/>
  <c r="L311" i="5"/>
  <c r="O311" i="5" s="1"/>
  <c r="Q310" i="5"/>
  <c r="N310" i="5"/>
  <c r="L310" i="5"/>
  <c r="O310" i="5" s="1"/>
  <c r="Q309" i="5"/>
  <c r="O309" i="5"/>
  <c r="N309" i="5"/>
  <c r="L309" i="5"/>
  <c r="Q308" i="5"/>
  <c r="N308" i="5"/>
  <c r="L308" i="5"/>
  <c r="O308" i="5" s="1"/>
  <c r="Q307" i="5"/>
  <c r="N307" i="5"/>
  <c r="L307" i="5"/>
  <c r="O307" i="5" s="1"/>
  <c r="Q306" i="5"/>
  <c r="N306" i="5"/>
  <c r="L306" i="5"/>
  <c r="O306" i="5" s="1"/>
  <c r="Q305" i="5"/>
  <c r="N305" i="5"/>
  <c r="L305" i="5"/>
  <c r="O305" i="5" s="1"/>
  <c r="Q304" i="5"/>
  <c r="N304" i="5"/>
  <c r="L304" i="5"/>
  <c r="O304" i="5" s="1"/>
  <c r="Q303" i="5"/>
  <c r="N303" i="5"/>
  <c r="L303" i="5"/>
  <c r="O303" i="5" s="1"/>
  <c r="Q302" i="5"/>
  <c r="N302" i="5"/>
  <c r="L302" i="5"/>
  <c r="O302" i="5" s="1"/>
  <c r="Q301" i="5"/>
  <c r="N301" i="5"/>
  <c r="L301" i="5"/>
  <c r="O301" i="5" s="1"/>
  <c r="Q300" i="5"/>
  <c r="N300" i="5"/>
  <c r="L300" i="5"/>
  <c r="O300" i="5" s="1"/>
  <c r="Q299" i="5"/>
  <c r="N299" i="5"/>
  <c r="L299" i="5"/>
  <c r="O299" i="5" s="1"/>
  <c r="Q298" i="5"/>
  <c r="N298" i="5"/>
  <c r="L298" i="5"/>
  <c r="O298" i="5" s="1"/>
  <c r="Q297" i="5"/>
  <c r="N297" i="5"/>
  <c r="L297" i="5"/>
  <c r="O297" i="5" s="1"/>
  <c r="Q296" i="5"/>
  <c r="N296" i="5"/>
  <c r="L296" i="5"/>
  <c r="O296" i="5" s="1"/>
  <c r="Q295" i="5"/>
  <c r="N295" i="5"/>
  <c r="L295" i="5"/>
  <c r="O295" i="5" s="1"/>
  <c r="Q294" i="5"/>
  <c r="N294" i="5"/>
  <c r="L294" i="5"/>
  <c r="O294" i="5" s="1"/>
  <c r="Q293" i="5"/>
  <c r="N293" i="5"/>
  <c r="L293" i="5"/>
  <c r="O293" i="5" s="1"/>
  <c r="Q292" i="5"/>
  <c r="N292" i="5"/>
  <c r="L292" i="5"/>
  <c r="O292" i="5" s="1"/>
  <c r="Q291" i="5"/>
  <c r="N291" i="5"/>
  <c r="L291" i="5"/>
  <c r="O291" i="5" s="1"/>
  <c r="Q290" i="5"/>
  <c r="N290" i="5"/>
  <c r="L290" i="5"/>
  <c r="O290" i="5" s="1"/>
  <c r="Q289" i="5"/>
  <c r="N289" i="5"/>
  <c r="L289" i="5"/>
  <c r="O289" i="5" s="1"/>
  <c r="Q288" i="5"/>
  <c r="N288" i="5"/>
  <c r="L288" i="5"/>
  <c r="O288" i="5" s="1"/>
  <c r="Q287" i="5"/>
  <c r="N287" i="5"/>
  <c r="L287" i="5"/>
  <c r="O287" i="5" s="1"/>
  <c r="Q286" i="5"/>
  <c r="N286" i="5"/>
  <c r="L286" i="5"/>
  <c r="O286" i="5" s="1"/>
  <c r="Q285" i="5"/>
  <c r="N285" i="5"/>
  <c r="L285" i="5"/>
  <c r="O285" i="5" s="1"/>
  <c r="Q284" i="5"/>
  <c r="N284" i="5"/>
  <c r="L284" i="5"/>
  <c r="Q283" i="5"/>
  <c r="N283" i="5"/>
  <c r="L283" i="5"/>
  <c r="O283" i="5" s="1"/>
  <c r="Q282" i="5"/>
  <c r="N282" i="5"/>
  <c r="L282" i="5"/>
  <c r="O282" i="5" s="1"/>
  <c r="Q281" i="5"/>
  <c r="N281" i="5"/>
  <c r="L281" i="5"/>
  <c r="O281" i="5" s="1"/>
  <c r="Q280" i="5"/>
  <c r="N280" i="5"/>
  <c r="L280" i="5"/>
  <c r="O280" i="5" s="1"/>
  <c r="Q279" i="5"/>
  <c r="N279" i="5"/>
  <c r="L279" i="5"/>
  <c r="Q278" i="5"/>
  <c r="N278" i="5"/>
  <c r="L278" i="5"/>
  <c r="O278" i="5" s="1"/>
  <c r="Q277" i="5"/>
  <c r="N277" i="5"/>
  <c r="L277" i="5"/>
  <c r="O277" i="5" s="1"/>
  <c r="Q276" i="5"/>
  <c r="N276" i="5"/>
  <c r="L276" i="5"/>
  <c r="O276" i="5" s="1"/>
  <c r="Q275" i="5"/>
  <c r="N275" i="5"/>
  <c r="L275" i="5"/>
  <c r="O275" i="5" s="1"/>
  <c r="Q274" i="5"/>
  <c r="N274" i="5"/>
  <c r="L274" i="5"/>
  <c r="O274" i="5" s="1"/>
  <c r="Q273" i="5"/>
  <c r="N273" i="5"/>
  <c r="L273" i="5"/>
  <c r="O273" i="5" s="1"/>
  <c r="Q272" i="5"/>
  <c r="N272" i="5"/>
  <c r="L272" i="5"/>
  <c r="O272" i="5" s="1"/>
  <c r="Q271" i="5"/>
  <c r="N271" i="5"/>
  <c r="L271" i="5"/>
  <c r="O271" i="5" s="1"/>
  <c r="Q270" i="5"/>
  <c r="N270" i="5"/>
  <c r="L270" i="5"/>
  <c r="O270" i="5" s="1"/>
  <c r="Q269" i="5"/>
  <c r="N269" i="5"/>
  <c r="L269" i="5"/>
  <c r="O269" i="5" s="1"/>
  <c r="Q268" i="5"/>
  <c r="N268" i="5"/>
  <c r="L268" i="5"/>
  <c r="O268" i="5" s="1"/>
  <c r="Q267" i="5"/>
  <c r="N267" i="5"/>
  <c r="L267" i="5"/>
  <c r="O267" i="5" s="1"/>
  <c r="Q266" i="5"/>
  <c r="N266" i="5"/>
  <c r="L266" i="5"/>
  <c r="Q265" i="5"/>
  <c r="N265" i="5"/>
  <c r="L265" i="5"/>
  <c r="O265" i="5" s="1"/>
  <c r="Q264" i="5"/>
  <c r="N264" i="5"/>
  <c r="L264" i="5"/>
  <c r="O264" i="5" s="1"/>
  <c r="Q263" i="5"/>
  <c r="N263" i="5"/>
  <c r="L263" i="5"/>
  <c r="O263" i="5" s="1"/>
  <c r="Q262" i="5"/>
  <c r="N262" i="5"/>
  <c r="L262" i="5"/>
  <c r="O262" i="5" s="1"/>
  <c r="Q261" i="5"/>
  <c r="N261" i="5"/>
  <c r="L261" i="5"/>
  <c r="Q260" i="5"/>
  <c r="N260" i="5"/>
  <c r="L260" i="5"/>
  <c r="O260" i="5" s="1"/>
  <c r="Q259" i="5"/>
  <c r="N259" i="5"/>
  <c r="L259" i="5"/>
  <c r="O259" i="5" s="1"/>
  <c r="Q258" i="5"/>
  <c r="N258" i="5"/>
  <c r="L258" i="5"/>
  <c r="O258" i="5" s="1"/>
  <c r="Q257" i="5"/>
  <c r="N257" i="5"/>
  <c r="L257" i="5"/>
  <c r="O257" i="5" s="1"/>
  <c r="Q256" i="5"/>
  <c r="N256" i="5"/>
  <c r="L256" i="5"/>
  <c r="O256" i="5" s="1"/>
  <c r="Q255" i="5"/>
  <c r="N255" i="5"/>
  <c r="L255" i="5"/>
  <c r="O255" i="5" s="1"/>
  <c r="Q254" i="5"/>
  <c r="N254" i="5"/>
  <c r="L254" i="5"/>
  <c r="O254" i="5" s="1"/>
  <c r="Q253" i="5"/>
  <c r="N253" i="5"/>
  <c r="L253" i="5"/>
  <c r="O253" i="5" s="1"/>
  <c r="Q252" i="5"/>
  <c r="N252" i="5"/>
  <c r="L252" i="5"/>
  <c r="O252" i="5" s="1"/>
  <c r="Q251" i="5"/>
  <c r="N251" i="5"/>
  <c r="L251" i="5"/>
  <c r="O251" i="5" s="1"/>
  <c r="Q250" i="5"/>
  <c r="N250" i="5"/>
  <c r="L250" i="5"/>
  <c r="O250" i="5" s="1"/>
  <c r="Q249" i="5"/>
  <c r="N249" i="5"/>
  <c r="L249" i="5"/>
  <c r="O249" i="5" s="1"/>
  <c r="Q248" i="5"/>
  <c r="N248" i="5"/>
  <c r="L248" i="5"/>
  <c r="Q247" i="5"/>
  <c r="N247" i="5"/>
  <c r="L247" i="5"/>
  <c r="O247" i="5" s="1"/>
  <c r="Q246" i="5"/>
  <c r="N246" i="5"/>
  <c r="L246" i="5"/>
  <c r="O246" i="5" s="1"/>
  <c r="Q245" i="5"/>
  <c r="N245" i="5"/>
  <c r="L245" i="5"/>
  <c r="O245" i="5" s="1"/>
  <c r="Q244" i="5"/>
  <c r="N244" i="5"/>
  <c r="L244" i="5"/>
  <c r="O244" i="5" s="1"/>
  <c r="Q243" i="5"/>
  <c r="N243" i="5"/>
  <c r="L243" i="5"/>
  <c r="Q242" i="5"/>
  <c r="N242" i="5"/>
  <c r="L242" i="5"/>
  <c r="O242" i="5" s="1"/>
  <c r="Q241" i="5"/>
  <c r="N241" i="5"/>
  <c r="L241" i="5"/>
  <c r="O241" i="5" s="1"/>
  <c r="Q240" i="5"/>
  <c r="N240" i="5"/>
  <c r="L240" i="5"/>
  <c r="O240" i="5" s="1"/>
  <c r="Q239" i="5"/>
  <c r="N239" i="5"/>
  <c r="L239" i="5"/>
  <c r="O239" i="5" s="1"/>
  <c r="Q238" i="5"/>
  <c r="N238" i="5"/>
  <c r="L238" i="5"/>
  <c r="O238" i="5" s="1"/>
  <c r="Q237" i="5"/>
  <c r="N237" i="5"/>
  <c r="L237" i="5"/>
  <c r="O237" i="5" s="1"/>
  <c r="Q236" i="5"/>
  <c r="N236" i="5"/>
  <c r="L236" i="5"/>
  <c r="O236" i="5" s="1"/>
  <c r="Q235" i="5"/>
  <c r="N235" i="5"/>
  <c r="L235" i="5"/>
  <c r="O235" i="5" s="1"/>
  <c r="Q234" i="5"/>
  <c r="N234" i="5"/>
  <c r="L234" i="5"/>
  <c r="O234" i="5" s="1"/>
  <c r="Q233" i="5"/>
  <c r="N233" i="5"/>
  <c r="L233" i="5"/>
  <c r="O233" i="5" s="1"/>
  <c r="Q232" i="5"/>
  <c r="N232" i="5"/>
  <c r="L232" i="5"/>
  <c r="O232" i="5" s="1"/>
  <c r="Q231" i="5"/>
  <c r="N231" i="5"/>
  <c r="L231" i="5"/>
  <c r="O231" i="5" s="1"/>
  <c r="Q230" i="5"/>
  <c r="N230" i="5"/>
  <c r="L230" i="5"/>
  <c r="Q229" i="5"/>
  <c r="N229" i="5"/>
  <c r="L229" i="5"/>
  <c r="O229" i="5" s="1"/>
  <c r="Q228" i="5"/>
  <c r="N228" i="5"/>
  <c r="L228" i="5"/>
  <c r="O228" i="5" s="1"/>
  <c r="Q227" i="5"/>
  <c r="N227" i="5"/>
  <c r="L227" i="5"/>
  <c r="O227" i="5" s="1"/>
  <c r="Q226" i="5"/>
  <c r="N226" i="5"/>
  <c r="L226" i="5"/>
  <c r="O226" i="5" s="1"/>
  <c r="Q225" i="5"/>
  <c r="N225" i="5"/>
  <c r="L225" i="5"/>
  <c r="Q224" i="5"/>
  <c r="N224" i="5"/>
  <c r="L224" i="5"/>
  <c r="O224" i="5" s="1"/>
  <c r="Q223" i="5"/>
  <c r="N223" i="5"/>
  <c r="L223" i="5"/>
  <c r="O223" i="5" s="1"/>
  <c r="Q222" i="5"/>
  <c r="N222" i="5"/>
  <c r="L222" i="5"/>
  <c r="O222" i="5" s="1"/>
  <c r="Q221" i="5"/>
  <c r="N221" i="5"/>
  <c r="L221" i="5"/>
  <c r="O221" i="5" s="1"/>
  <c r="Q220" i="5"/>
  <c r="N220" i="5"/>
  <c r="L220" i="5"/>
  <c r="O220" i="5" s="1"/>
  <c r="Q219" i="5"/>
  <c r="N219" i="5"/>
  <c r="L219" i="5"/>
  <c r="O219" i="5" s="1"/>
  <c r="Q218" i="5"/>
  <c r="N218" i="5"/>
  <c r="L218" i="5"/>
  <c r="O218" i="5" s="1"/>
  <c r="Q217" i="5"/>
  <c r="N217" i="5"/>
  <c r="L217" i="5"/>
  <c r="O217" i="5" s="1"/>
  <c r="Q216" i="5"/>
  <c r="N216" i="5"/>
  <c r="L216" i="5"/>
  <c r="O216" i="5" s="1"/>
  <c r="Q215" i="5"/>
  <c r="N215" i="5"/>
  <c r="L215" i="5"/>
  <c r="O215" i="5" s="1"/>
  <c r="Q214" i="5"/>
  <c r="N214" i="5"/>
  <c r="L214" i="5"/>
  <c r="O214" i="5" s="1"/>
  <c r="Q213" i="5"/>
  <c r="N213" i="5"/>
  <c r="L213" i="5"/>
  <c r="O213" i="5" s="1"/>
  <c r="Q212" i="5"/>
  <c r="N212" i="5"/>
  <c r="O212" i="5" s="1"/>
  <c r="L212" i="5"/>
  <c r="Q211" i="5"/>
  <c r="N211" i="5"/>
  <c r="L211" i="5"/>
  <c r="O211" i="5" s="1"/>
  <c r="Q210" i="5"/>
  <c r="N210" i="5"/>
  <c r="L210" i="5"/>
  <c r="O210" i="5" s="1"/>
  <c r="Q209" i="5"/>
  <c r="N209" i="5"/>
  <c r="L209" i="5"/>
  <c r="O209" i="5" s="1"/>
  <c r="Q208" i="5"/>
  <c r="N208" i="5"/>
  <c r="L208" i="5"/>
  <c r="O208" i="5" s="1"/>
  <c r="Q207" i="5"/>
  <c r="N207" i="5"/>
  <c r="L207" i="5"/>
  <c r="Q206" i="5"/>
  <c r="N206" i="5"/>
  <c r="L206" i="5"/>
  <c r="O206" i="5" s="1"/>
  <c r="Q205" i="5"/>
  <c r="N205" i="5"/>
  <c r="L205" i="5"/>
  <c r="O205" i="5" s="1"/>
  <c r="Q204" i="5"/>
  <c r="N204" i="5"/>
  <c r="L204" i="5"/>
  <c r="O204" i="5" s="1"/>
  <c r="Q203" i="5"/>
  <c r="N203" i="5"/>
  <c r="L203" i="5"/>
  <c r="O203" i="5" s="1"/>
  <c r="Q202" i="5"/>
  <c r="N202" i="5"/>
  <c r="L202" i="5"/>
  <c r="O202" i="5" s="1"/>
  <c r="Q201" i="5"/>
  <c r="N201" i="5"/>
  <c r="L201" i="5"/>
  <c r="O201" i="5" s="1"/>
  <c r="Q200" i="5"/>
  <c r="O200" i="5"/>
  <c r="N200" i="5"/>
  <c r="L200" i="5"/>
  <c r="Q199" i="5"/>
  <c r="N199" i="5"/>
  <c r="L199" i="5"/>
  <c r="O199" i="5" s="1"/>
  <c r="Q198" i="5"/>
  <c r="N198" i="5"/>
  <c r="L198" i="5"/>
  <c r="O198" i="5" s="1"/>
  <c r="Q197" i="5"/>
  <c r="N197" i="5"/>
  <c r="L197" i="5"/>
  <c r="O197" i="5" s="1"/>
  <c r="Q196" i="5"/>
  <c r="N196" i="5"/>
  <c r="L196" i="5"/>
  <c r="O196" i="5" s="1"/>
  <c r="Q195" i="5"/>
  <c r="N195" i="5"/>
  <c r="L195" i="5"/>
  <c r="O195" i="5" s="1"/>
  <c r="Q194" i="5"/>
  <c r="N194" i="5"/>
  <c r="L194" i="5"/>
  <c r="Q193" i="5"/>
  <c r="N193" i="5"/>
  <c r="L193" i="5"/>
  <c r="O193" i="5" s="1"/>
  <c r="Q192" i="5"/>
  <c r="N192" i="5"/>
  <c r="L192" i="5"/>
  <c r="O192" i="5" s="1"/>
  <c r="Q191" i="5"/>
  <c r="N191" i="5"/>
  <c r="L191" i="5"/>
  <c r="O191" i="5" s="1"/>
  <c r="Q190" i="5"/>
  <c r="N190" i="5"/>
  <c r="L190" i="5"/>
  <c r="O190" i="5" s="1"/>
  <c r="Q189" i="5"/>
  <c r="N189" i="5"/>
  <c r="L189" i="5"/>
  <c r="Q188" i="5"/>
  <c r="N188" i="5"/>
  <c r="L188" i="5"/>
  <c r="O188" i="5" s="1"/>
  <c r="Q187" i="5"/>
  <c r="N187" i="5"/>
  <c r="L187" i="5"/>
  <c r="O187" i="5" s="1"/>
  <c r="Q186" i="5"/>
  <c r="N186" i="5"/>
  <c r="L186" i="5"/>
  <c r="O186" i="5" s="1"/>
  <c r="Q185" i="5"/>
  <c r="N185" i="5"/>
  <c r="L185" i="5"/>
  <c r="O185" i="5" s="1"/>
  <c r="Q184" i="5"/>
  <c r="N184" i="5"/>
  <c r="L184" i="5"/>
  <c r="O184" i="5" s="1"/>
  <c r="Q183" i="5"/>
  <c r="N183" i="5"/>
  <c r="L183" i="5"/>
  <c r="O183" i="5" s="1"/>
  <c r="Q182" i="5"/>
  <c r="N182" i="5"/>
  <c r="L182" i="5"/>
  <c r="O182" i="5" s="1"/>
  <c r="Q181" i="5"/>
  <c r="N181" i="5"/>
  <c r="L181" i="5"/>
  <c r="O181" i="5" s="1"/>
  <c r="Q180" i="5"/>
  <c r="N180" i="5"/>
  <c r="L180" i="5"/>
  <c r="O180" i="5" s="1"/>
  <c r="Q179" i="5"/>
  <c r="N179" i="5"/>
  <c r="L179" i="5"/>
  <c r="O179" i="5" s="1"/>
  <c r="Q178" i="5"/>
  <c r="N178" i="5"/>
  <c r="L178" i="5"/>
  <c r="O178" i="5" s="1"/>
  <c r="Q177" i="5"/>
  <c r="O177" i="5"/>
  <c r="N177" i="5"/>
  <c r="L177" i="5"/>
  <c r="Q176" i="5"/>
  <c r="N176" i="5"/>
  <c r="L176" i="5"/>
  <c r="Q175" i="5"/>
  <c r="N175" i="5"/>
  <c r="L175" i="5"/>
  <c r="O175" i="5" s="1"/>
  <c r="Q174" i="5"/>
  <c r="N174" i="5"/>
  <c r="L174" i="5"/>
  <c r="O174" i="5" s="1"/>
  <c r="Q173" i="5"/>
  <c r="N173" i="5"/>
  <c r="L173" i="5"/>
  <c r="O173" i="5" s="1"/>
  <c r="Q172" i="5"/>
  <c r="N172" i="5"/>
  <c r="L172" i="5"/>
  <c r="O172" i="5" s="1"/>
  <c r="Q171" i="5"/>
  <c r="N171" i="5"/>
  <c r="L171" i="5"/>
  <c r="Q170" i="5"/>
  <c r="N170" i="5"/>
  <c r="L170" i="5"/>
  <c r="O170" i="5" s="1"/>
  <c r="Q169" i="5"/>
  <c r="N169" i="5"/>
  <c r="L169" i="5"/>
  <c r="O169" i="5" s="1"/>
  <c r="Q168" i="5"/>
  <c r="N168" i="5"/>
  <c r="L168" i="5"/>
  <c r="O168" i="5" s="1"/>
  <c r="Q167" i="5"/>
  <c r="N167" i="5"/>
  <c r="L167" i="5"/>
  <c r="O167" i="5" s="1"/>
  <c r="Q166" i="5"/>
  <c r="N166" i="5"/>
  <c r="L166" i="5"/>
  <c r="O166" i="5" s="1"/>
  <c r="Q165" i="5"/>
  <c r="N165" i="5"/>
  <c r="L165" i="5"/>
  <c r="O165" i="5" s="1"/>
  <c r="Q164" i="5"/>
  <c r="N164" i="5"/>
  <c r="L164" i="5"/>
  <c r="O164" i="5" s="1"/>
  <c r="Q163" i="5"/>
  <c r="N163" i="5"/>
  <c r="L163" i="5"/>
  <c r="O163" i="5" s="1"/>
  <c r="Q162" i="5"/>
  <c r="N162" i="5"/>
  <c r="L162" i="5"/>
  <c r="O162" i="5" s="1"/>
  <c r="Q161" i="5"/>
  <c r="N161" i="5"/>
  <c r="L161" i="5"/>
  <c r="O161" i="5" s="1"/>
  <c r="Q160" i="5"/>
  <c r="N160" i="5"/>
  <c r="L160" i="5"/>
  <c r="O160" i="5" s="1"/>
  <c r="Q159" i="5"/>
  <c r="N159" i="5"/>
  <c r="L159" i="5"/>
  <c r="O159" i="5" s="1"/>
  <c r="Q158" i="5"/>
  <c r="N158" i="5"/>
  <c r="L158" i="5"/>
  <c r="Q157" i="5"/>
  <c r="N157" i="5"/>
  <c r="L157" i="5"/>
  <c r="O157" i="5" s="1"/>
  <c r="Q156" i="5"/>
  <c r="N156" i="5"/>
  <c r="L156" i="5"/>
  <c r="O156" i="5" s="1"/>
  <c r="Q155" i="5"/>
  <c r="N155" i="5"/>
  <c r="L155" i="5"/>
  <c r="O155" i="5" s="1"/>
  <c r="Q154" i="5"/>
  <c r="N154" i="5"/>
  <c r="L154" i="5"/>
  <c r="O154" i="5" s="1"/>
  <c r="Q153" i="5"/>
  <c r="N153" i="5"/>
  <c r="L153" i="5"/>
  <c r="Q152" i="5"/>
  <c r="N152" i="5"/>
  <c r="L152" i="5"/>
  <c r="O152" i="5" s="1"/>
  <c r="Q151" i="5"/>
  <c r="N151" i="5"/>
  <c r="L151" i="5"/>
  <c r="O151" i="5" s="1"/>
  <c r="Q150" i="5"/>
  <c r="N150" i="5"/>
  <c r="L150" i="5"/>
  <c r="O150" i="5" s="1"/>
  <c r="Q149" i="5"/>
  <c r="N149" i="5"/>
  <c r="L149" i="5"/>
  <c r="O149" i="5" s="1"/>
  <c r="Q148" i="5"/>
  <c r="N148" i="5"/>
  <c r="L148" i="5"/>
  <c r="O148" i="5" s="1"/>
  <c r="Q147" i="5"/>
  <c r="N147" i="5"/>
  <c r="L147" i="5"/>
  <c r="O147" i="5" s="1"/>
  <c r="Q146" i="5"/>
  <c r="N146" i="5"/>
  <c r="L146" i="5"/>
  <c r="O146" i="5" s="1"/>
  <c r="Q145" i="5"/>
  <c r="N145" i="5"/>
  <c r="L145" i="5"/>
  <c r="O145" i="5" s="1"/>
  <c r="Q144" i="5"/>
  <c r="N144" i="5"/>
  <c r="L144" i="5"/>
  <c r="O144" i="5" s="1"/>
  <c r="Q143" i="5"/>
  <c r="N143" i="5"/>
  <c r="L143" i="5"/>
  <c r="O143" i="5" s="1"/>
  <c r="Q142" i="5"/>
  <c r="N142" i="5"/>
  <c r="L142" i="5"/>
  <c r="O142" i="5" s="1"/>
  <c r="Q141" i="5"/>
  <c r="N141" i="5"/>
  <c r="L141" i="5"/>
  <c r="O141" i="5" s="1"/>
  <c r="Q140" i="5"/>
  <c r="N140" i="5"/>
  <c r="L140" i="5"/>
  <c r="Q139" i="5"/>
  <c r="N139" i="5"/>
  <c r="L139" i="5"/>
  <c r="O139" i="5" s="1"/>
  <c r="Q138" i="5"/>
  <c r="N138" i="5"/>
  <c r="L138" i="5"/>
  <c r="O138" i="5" s="1"/>
  <c r="Q137" i="5"/>
  <c r="N137" i="5"/>
  <c r="L137" i="5"/>
  <c r="O137" i="5" s="1"/>
  <c r="Q136" i="5"/>
  <c r="N136" i="5"/>
  <c r="L136" i="5"/>
  <c r="O136" i="5" s="1"/>
  <c r="Q135" i="5"/>
  <c r="N135" i="5"/>
  <c r="L135" i="5"/>
  <c r="Q134" i="5"/>
  <c r="N134" i="5"/>
  <c r="L134" i="5"/>
  <c r="O134" i="5" s="1"/>
  <c r="Q133" i="5"/>
  <c r="N133" i="5"/>
  <c r="L133" i="5"/>
  <c r="O133" i="5" s="1"/>
  <c r="Q132" i="5"/>
  <c r="N132" i="5"/>
  <c r="L132" i="5"/>
  <c r="O132" i="5" s="1"/>
  <c r="Q131" i="5"/>
  <c r="N131" i="5"/>
  <c r="L131" i="5"/>
  <c r="O131" i="5" s="1"/>
  <c r="Q130" i="5"/>
  <c r="N130" i="5"/>
  <c r="L130" i="5"/>
  <c r="O130" i="5" s="1"/>
  <c r="Q129" i="5"/>
  <c r="N129" i="5"/>
  <c r="L129" i="5"/>
  <c r="O129" i="5" s="1"/>
  <c r="Q128" i="5"/>
  <c r="N128" i="5"/>
  <c r="L128" i="5"/>
  <c r="O128" i="5" s="1"/>
  <c r="Q127" i="5"/>
  <c r="N127" i="5"/>
  <c r="L127" i="5"/>
  <c r="O127" i="5" s="1"/>
  <c r="Q126" i="5"/>
  <c r="N126" i="5"/>
  <c r="L126" i="5"/>
  <c r="O126" i="5" s="1"/>
  <c r="Q125" i="5"/>
  <c r="N125" i="5"/>
  <c r="L125" i="5"/>
  <c r="O125" i="5" s="1"/>
  <c r="Q124" i="5"/>
  <c r="N124" i="5"/>
  <c r="L124" i="5"/>
  <c r="O124" i="5" s="1"/>
  <c r="Q123" i="5"/>
  <c r="N123" i="5"/>
  <c r="L123" i="5"/>
  <c r="O123" i="5" s="1"/>
  <c r="Q122" i="5"/>
  <c r="N122" i="5"/>
  <c r="L122" i="5"/>
  <c r="Q121" i="5"/>
  <c r="N121" i="5"/>
  <c r="L121" i="5"/>
  <c r="O121" i="5" s="1"/>
  <c r="Q120" i="5"/>
  <c r="N120" i="5"/>
  <c r="L120" i="5"/>
  <c r="O120" i="5" s="1"/>
  <c r="Q119" i="5"/>
  <c r="N119" i="5"/>
  <c r="L119" i="5"/>
  <c r="O119" i="5" s="1"/>
  <c r="Q118" i="5"/>
  <c r="N118" i="5"/>
  <c r="L118" i="5"/>
  <c r="O118" i="5" s="1"/>
  <c r="Q117" i="5"/>
  <c r="N117" i="5"/>
  <c r="L117" i="5"/>
  <c r="Q116" i="5"/>
  <c r="N116" i="5"/>
  <c r="L116" i="5"/>
  <c r="O116" i="5" s="1"/>
  <c r="Q115" i="5"/>
  <c r="N115" i="5"/>
  <c r="L115" i="5"/>
  <c r="O115" i="5" s="1"/>
  <c r="Q114" i="5"/>
  <c r="N114" i="5"/>
  <c r="L114" i="5"/>
  <c r="O114" i="5" s="1"/>
  <c r="Q113" i="5"/>
  <c r="N113" i="5"/>
  <c r="L113" i="5"/>
  <c r="O113" i="5" s="1"/>
  <c r="Q112" i="5"/>
  <c r="N112" i="5"/>
  <c r="L112" i="5"/>
  <c r="O112" i="5" s="1"/>
  <c r="Q111" i="5"/>
  <c r="N111" i="5"/>
  <c r="L111" i="5"/>
  <c r="O111" i="5" s="1"/>
  <c r="Q110" i="5"/>
  <c r="N110" i="5"/>
  <c r="L110" i="5"/>
  <c r="O110" i="5" s="1"/>
  <c r="Q109" i="5"/>
  <c r="N109" i="5"/>
  <c r="L109" i="5"/>
  <c r="O109" i="5" s="1"/>
  <c r="Q108" i="5"/>
  <c r="N108" i="5"/>
  <c r="L108" i="5"/>
  <c r="O108" i="5" s="1"/>
  <c r="Q107" i="5"/>
  <c r="N107" i="5"/>
  <c r="L107" i="5"/>
  <c r="O107" i="5" s="1"/>
  <c r="Q106" i="5"/>
  <c r="N106" i="5"/>
  <c r="L106" i="5"/>
  <c r="O106" i="5" s="1"/>
  <c r="Q105" i="5"/>
  <c r="N105" i="5"/>
  <c r="L105" i="5"/>
  <c r="O105" i="5" s="1"/>
  <c r="Q104" i="5"/>
  <c r="N104" i="5"/>
  <c r="L104" i="5"/>
  <c r="Q103" i="5"/>
  <c r="N103" i="5"/>
  <c r="L103" i="5"/>
  <c r="O103" i="5" s="1"/>
  <c r="Q102" i="5"/>
  <c r="N102" i="5"/>
  <c r="L102" i="5"/>
  <c r="O102" i="5" s="1"/>
  <c r="Q101" i="5"/>
  <c r="N101" i="5"/>
  <c r="L101" i="5"/>
  <c r="O101" i="5" s="1"/>
  <c r="Q100" i="5"/>
  <c r="N100" i="5"/>
  <c r="L100" i="5"/>
  <c r="O100" i="5" s="1"/>
  <c r="Q99" i="5"/>
  <c r="N99" i="5"/>
  <c r="L99" i="5"/>
  <c r="Q98" i="5"/>
  <c r="N98" i="5"/>
  <c r="L98" i="5"/>
  <c r="O98" i="5" s="1"/>
  <c r="Q97" i="5"/>
  <c r="N97" i="5"/>
  <c r="L97" i="5"/>
  <c r="O97" i="5" s="1"/>
  <c r="Q96" i="5"/>
  <c r="N96" i="5"/>
  <c r="L96" i="5"/>
  <c r="O96" i="5" s="1"/>
  <c r="Q95" i="5"/>
  <c r="N95" i="5"/>
  <c r="L95" i="5"/>
  <c r="O95" i="5" s="1"/>
  <c r="Q94" i="5"/>
  <c r="N94" i="5"/>
  <c r="L94" i="5"/>
  <c r="O94" i="5" s="1"/>
  <c r="Q93" i="5"/>
  <c r="N93" i="5"/>
  <c r="L93" i="5"/>
  <c r="O93" i="5" s="1"/>
  <c r="Q92" i="5"/>
  <c r="N92" i="5"/>
  <c r="L92" i="5"/>
  <c r="O92" i="5" s="1"/>
  <c r="Q91" i="5"/>
  <c r="N91" i="5"/>
  <c r="L91" i="5"/>
  <c r="O91" i="5" s="1"/>
  <c r="Q90" i="5"/>
  <c r="N90" i="5"/>
  <c r="L90" i="5"/>
  <c r="O90" i="5" s="1"/>
  <c r="Q89" i="5"/>
  <c r="N89" i="5"/>
  <c r="L89" i="5"/>
  <c r="O89" i="5" s="1"/>
  <c r="Q88" i="5"/>
  <c r="N88" i="5"/>
  <c r="L88" i="5"/>
  <c r="O88" i="5" s="1"/>
  <c r="Q87" i="5"/>
  <c r="N87" i="5"/>
  <c r="L87" i="5"/>
  <c r="O87" i="5" s="1"/>
  <c r="Q86" i="5"/>
  <c r="N86" i="5"/>
  <c r="L86" i="5"/>
  <c r="Q85" i="5"/>
  <c r="N85" i="5"/>
  <c r="L85" i="5"/>
  <c r="O85" i="5" s="1"/>
  <c r="Q84" i="5"/>
  <c r="N84" i="5"/>
  <c r="L84" i="5"/>
  <c r="O84" i="5" s="1"/>
  <c r="Q83" i="5"/>
  <c r="N83" i="5"/>
  <c r="L83" i="5"/>
  <c r="O83" i="5" s="1"/>
  <c r="Q82" i="5"/>
  <c r="N82" i="5"/>
  <c r="L82" i="5"/>
  <c r="O82" i="5" s="1"/>
  <c r="Q81" i="5"/>
  <c r="N81" i="5"/>
  <c r="L81" i="5"/>
  <c r="Q80" i="5"/>
  <c r="N80" i="5"/>
  <c r="L80" i="5"/>
  <c r="O80" i="5" s="1"/>
  <c r="Q79" i="5"/>
  <c r="N79" i="5"/>
  <c r="L79" i="5"/>
  <c r="O79" i="5" s="1"/>
  <c r="Q78" i="5"/>
  <c r="N78" i="5"/>
  <c r="L78" i="5"/>
  <c r="O78" i="5" s="1"/>
  <c r="Q77" i="5"/>
  <c r="N77" i="5"/>
  <c r="L77" i="5"/>
  <c r="O77" i="5" s="1"/>
  <c r="Q76" i="5"/>
  <c r="N76" i="5"/>
  <c r="L76" i="5"/>
  <c r="O76" i="5" s="1"/>
  <c r="Q75" i="5"/>
  <c r="N75" i="5"/>
  <c r="L75" i="5"/>
  <c r="O75" i="5" s="1"/>
  <c r="Q74" i="5"/>
  <c r="N74" i="5"/>
  <c r="L74" i="5"/>
  <c r="O74" i="5" s="1"/>
  <c r="Q73" i="5"/>
  <c r="N73" i="5"/>
  <c r="L73" i="5"/>
  <c r="O73" i="5" s="1"/>
  <c r="Q72" i="5"/>
  <c r="N72" i="5"/>
  <c r="L72" i="5"/>
  <c r="O72" i="5" s="1"/>
  <c r="Q71" i="5"/>
  <c r="N71" i="5"/>
  <c r="L71" i="5"/>
  <c r="O71" i="5" s="1"/>
  <c r="Q70" i="5"/>
  <c r="N70" i="5"/>
  <c r="L70" i="5"/>
  <c r="O70" i="5" s="1"/>
  <c r="Q69" i="5"/>
  <c r="N69" i="5"/>
  <c r="L69" i="5"/>
  <c r="O69" i="5" s="1"/>
  <c r="Q68" i="5"/>
  <c r="N68" i="5"/>
  <c r="L68" i="5"/>
  <c r="Q67" i="5"/>
  <c r="N67" i="5"/>
  <c r="L67" i="5"/>
  <c r="O67" i="5" s="1"/>
  <c r="Q66" i="5"/>
  <c r="N66" i="5"/>
  <c r="L66" i="5"/>
  <c r="O66" i="5" s="1"/>
  <c r="Q65" i="5"/>
  <c r="N65" i="5"/>
  <c r="L65" i="5"/>
  <c r="O65" i="5" s="1"/>
  <c r="Q64" i="5"/>
  <c r="N64" i="5"/>
  <c r="L64" i="5"/>
  <c r="O64" i="5" s="1"/>
  <c r="Q63" i="5"/>
  <c r="N63" i="5"/>
  <c r="L63" i="5"/>
  <c r="Q62" i="5"/>
  <c r="N62" i="5"/>
  <c r="L62" i="5"/>
  <c r="O62" i="5" s="1"/>
  <c r="Q61" i="5"/>
  <c r="N61" i="5"/>
  <c r="L61" i="5"/>
  <c r="O61" i="5" s="1"/>
  <c r="Q60" i="5"/>
  <c r="N60" i="5"/>
  <c r="L60" i="5"/>
  <c r="O60" i="5" s="1"/>
  <c r="Q59" i="5"/>
  <c r="N59" i="5"/>
  <c r="L59" i="5"/>
  <c r="O59" i="5" s="1"/>
  <c r="Q58" i="5"/>
  <c r="N58" i="5"/>
  <c r="L58" i="5"/>
  <c r="O58" i="5" s="1"/>
  <c r="Q57" i="5"/>
  <c r="N57" i="5"/>
  <c r="L57" i="5"/>
  <c r="O57" i="5" s="1"/>
  <c r="Q56" i="5"/>
  <c r="N56" i="5"/>
  <c r="L56" i="5"/>
  <c r="O56" i="5" s="1"/>
  <c r="Q55" i="5"/>
  <c r="N55" i="5"/>
  <c r="L55" i="5"/>
  <c r="O55" i="5" s="1"/>
  <c r="Q54" i="5"/>
  <c r="N54" i="5"/>
  <c r="L54" i="5"/>
  <c r="O54" i="5" s="1"/>
  <c r="Q53" i="5"/>
  <c r="N53" i="5"/>
  <c r="L53" i="5"/>
  <c r="O53" i="5" s="1"/>
  <c r="Q52" i="5"/>
  <c r="N52" i="5"/>
  <c r="L52" i="5"/>
  <c r="O52" i="5" s="1"/>
  <c r="Q51" i="5"/>
  <c r="N51" i="5"/>
  <c r="L51" i="5"/>
  <c r="O51" i="5" s="1"/>
  <c r="Q50" i="5"/>
  <c r="N50" i="5"/>
  <c r="L50" i="5"/>
  <c r="Q49" i="5"/>
  <c r="N49" i="5"/>
  <c r="L49" i="5"/>
  <c r="O49" i="5" s="1"/>
  <c r="Q48" i="5"/>
  <c r="N48" i="5"/>
  <c r="L48" i="5"/>
  <c r="O48" i="5" s="1"/>
  <c r="Q47" i="5"/>
  <c r="N47" i="5"/>
  <c r="L47" i="5"/>
  <c r="O47" i="5" s="1"/>
  <c r="Q46" i="5"/>
  <c r="N46" i="5"/>
  <c r="L46" i="5"/>
  <c r="O46" i="5" s="1"/>
  <c r="Q45" i="5"/>
  <c r="N45" i="5"/>
  <c r="L45" i="5"/>
  <c r="Q44" i="5"/>
  <c r="N44" i="5"/>
  <c r="L44" i="5"/>
  <c r="O44" i="5" s="1"/>
  <c r="Q43" i="5"/>
  <c r="N43" i="5"/>
  <c r="L43" i="5"/>
  <c r="O43" i="5" s="1"/>
  <c r="Q42" i="5"/>
  <c r="N42" i="5"/>
  <c r="L42" i="5"/>
  <c r="Q41" i="5"/>
  <c r="N41" i="5"/>
  <c r="L41" i="5"/>
  <c r="O41" i="5" s="1"/>
  <c r="Q40" i="5"/>
  <c r="N40" i="5"/>
  <c r="L40" i="5"/>
  <c r="O40" i="5" s="1"/>
  <c r="Q39" i="5"/>
  <c r="N39" i="5"/>
  <c r="L39" i="5"/>
  <c r="Q38" i="5"/>
  <c r="N38" i="5"/>
  <c r="L38" i="5"/>
  <c r="O38" i="5" s="1"/>
  <c r="Q37" i="5"/>
  <c r="N37" i="5"/>
  <c r="L37" i="5"/>
  <c r="O37" i="5" s="1"/>
  <c r="Q36" i="5"/>
  <c r="N36" i="5"/>
  <c r="L36" i="5"/>
  <c r="Q35" i="5"/>
  <c r="N35" i="5"/>
  <c r="L35" i="5"/>
  <c r="O35" i="5" s="1"/>
  <c r="Q34" i="5"/>
  <c r="N34" i="5"/>
  <c r="L34" i="5"/>
  <c r="O34" i="5" s="1"/>
  <c r="Q33" i="5"/>
  <c r="N33" i="5"/>
  <c r="L33" i="5"/>
  <c r="Q32" i="5"/>
  <c r="N32" i="5"/>
  <c r="L32" i="5"/>
  <c r="O32" i="5" s="1"/>
  <c r="Q31" i="5"/>
  <c r="N31" i="5"/>
  <c r="L31" i="5"/>
  <c r="O31" i="5" s="1"/>
  <c r="Q30" i="5"/>
  <c r="N30" i="5"/>
  <c r="L30" i="5"/>
  <c r="Q29" i="5"/>
  <c r="N29" i="5"/>
  <c r="L29" i="5"/>
  <c r="O29" i="5" s="1"/>
  <c r="Q28" i="5"/>
  <c r="N28" i="5"/>
  <c r="L28" i="5"/>
  <c r="O28" i="5" s="1"/>
  <c r="Q27" i="5"/>
  <c r="N27" i="5"/>
  <c r="L27" i="5"/>
  <c r="Q26" i="5"/>
  <c r="N26" i="5"/>
  <c r="L26" i="5"/>
  <c r="O26" i="5" s="1"/>
  <c r="Q25" i="5"/>
  <c r="N25" i="5"/>
  <c r="L25" i="5"/>
  <c r="O25" i="5" s="1"/>
  <c r="Q24" i="5"/>
  <c r="N24" i="5"/>
  <c r="L24" i="5"/>
  <c r="Q23" i="5"/>
  <c r="N23" i="5"/>
  <c r="L23" i="5"/>
  <c r="O23" i="5" s="1"/>
  <c r="Q22" i="5"/>
  <c r="N22" i="5"/>
  <c r="L22" i="5"/>
  <c r="O22" i="5" s="1"/>
  <c r="Q21" i="5"/>
  <c r="N21" i="5"/>
  <c r="L21" i="5"/>
  <c r="Q20" i="5"/>
  <c r="N20" i="5"/>
  <c r="L20" i="5"/>
  <c r="O20" i="5" s="1"/>
  <c r="Q19" i="5"/>
  <c r="N19" i="5"/>
  <c r="L19" i="5"/>
  <c r="O19" i="5" s="1"/>
  <c r="Q18" i="5"/>
  <c r="N18" i="5"/>
  <c r="Q17" i="5"/>
  <c r="N17" i="5"/>
  <c r="L17" i="5"/>
  <c r="O17" i="5" s="1"/>
  <c r="Q16" i="5"/>
  <c r="N16" i="5"/>
  <c r="L16" i="5"/>
  <c r="O16" i="5" s="1"/>
  <c r="Q15" i="5"/>
  <c r="N15" i="5"/>
  <c r="L15" i="5"/>
  <c r="Q14" i="5"/>
  <c r="N14" i="5"/>
  <c r="L14" i="5"/>
  <c r="O14" i="5" s="1"/>
  <c r="Q13" i="5"/>
  <c r="O13" i="5"/>
  <c r="N13" i="5"/>
  <c r="L13" i="5"/>
  <c r="Q12" i="5"/>
  <c r="N12" i="5"/>
  <c r="L12" i="5"/>
  <c r="Q11" i="5"/>
  <c r="N11" i="5"/>
  <c r="L11" i="5"/>
  <c r="O11" i="5" s="1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11" i="4"/>
  <c r="N11" i="4"/>
  <c r="N331" i="4"/>
  <c r="L331" i="4"/>
  <c r="N330" i="4"/>
  <c r="L330" i="4"/>
  <c r="N329" i="4"/>
  <c r="L329" i="4"/>
  <c r="N328" i="4"/>
  <c r="L328" i="4"/>
  <c r="O328" i="4" s="1"/>
  <c r="N327" i="4"/>
  <c r="L327" i="4"/>
  <c r="O327" i="4" s="1"/>
  <c r="N326" i="4"/>
  <c r="L326" i="4"/>
  <c r="O326" i="4" s="1"/>
  <c r="N325" i="4"/>
  <c r="L325" i="4"/>
  <c r="N324" i="4"/>
  <c r="L324" i="4"/>
  <c r="N323" i="4"/>
  <c r="L323" i="4"/>
  <c r="O323" i="4" s="1"/>
  <c r="N322" i="4"/>
  <c r="L322" i="4"/>
  <c r="O322" i="4" s="1"/>
  <c r="N321" i="4"/>
  <c r="L321" i="4"/>
  <c r="O321" i="4" s="1"/>
  <c r="N320" i="4"/>
  <c r="L320" i="4"/>
  <c r="O320" i="4" s="1"/>
  <c r="N319" i="4"/>
  <c r="L319" i="4"/>
  <c r="N318" i="4"/>
  <c r="L318" i="4"/>
  <c r="O318" i="4" s="1"/>
  <c r="N317" i="4"/>
  <c r="L317" i="4"/>
  <c r="N316" i="4"/>
  <c r="L316" i="4"/>
  <c r="N315" i="4"/>
  <c r="L315" i="4"/>
  <c r="O315" i="4" s="1"/>
  <c r="N314" i="4"/>
  <c r="L314" i="4"/>
  <c r="O314" i="4" s="1"/>
  <c r="N313" i="4"/>
  <c r="L313" i="4"/>
  <c r="O313" i="4" s="1"/>
  <c r="N312" i="4"/>
  <c r="L312" i="4"/>
  <c r="N311" i="4"/>
  <c r="L311" i="4"/>
  <c r="O311" i="4" s="1"/>
  <c r="N310" i="4"/>
  <c r="L310" i="4"/>
  <c r="O310" i="4" s="1"/>
  <c r="N309" i="4"/>
  <c r="L309" i="4"/>
  <c r="N308" i="4"/>
  <c r="L308" i="4"/>
  <c r="O308" i="4" s="1"/>
  <c r="N307" i="4"/>
  <c r="L307" i="4"/>
  <c r="O307" i="4" s="1"/>
  <c r="N306" i="4"/>
  <c r="L306" i="4"/>
  <c r="N305" i="4"/>
  <c r="L305" i="4"/>
  <c r="N304" i="4"/>
  <c r="L304" i="4"/>
  <c r="O304" i="4" s="1"/>
  <c r="N303" i="4"/>
  <c r="L303" i="4"/>
  <c r="N302" i="4"/>
  <c r="L302" i="4"/>
  <c r="O302" i="4" s="1"/>
  <c r="N301" i="4"/>
  <c r="L301" i="4"/>
  <c r="N300" i="4"/>
  <c r="L300" i="4"/>
  <c r="N299" i="4"/>
  <c r="L299" i="4"/>
  <c r="O299" i="4" s="1"/>
  <c r="N298" i="4"/>
  <c r="L298" i="4"/>
  <c r="N297" i="4"/>
  <c r="L297" i="4"/>
  <c r="O297" i="4" s="1"/>
  <c r="N296" i="4"/>
  <c r="L296" i="4"/>
  <c r="O296" i="4" s="1"/>
  <c r="N295" i="4"/>
  <c r="L295" i="4"/>
  <c r="N294" i="4"/>
  <c r="L294" i="4"/>
  <c r="O294" i="4" s="1"/>
  <c r="N293" i="4"/>
  <c r="L293" i="4"/>
  <c r="N292" i="4"/>
  <c r="L292" i="4"/>
  <c r="N291" i="4"/>
  <c r="L291" i="4"/>
  <c r="O291" i="4" s="1"/>
  <c r="N290" i="4"/>
  <c r="L290" i="4"/>
  <c r="O290" i="4" s="1"/>
  <c r="N289" i="4"/>
  <c r="L289" i="4"/>
  <c r="O289" i="4" s="1"/>
  <c r="N288" i="4"/>
  <c r="L288" i="4"/>
  <c r="N287" i="4"/>
  <c r="L287" i="4"/>
  <c r="O287" i="4" s="1"/>
  <c r="N286" i="4"/>
  <c r="L286" i="4"/>
  <c r="O286" i="4" s="1"/>
  <c r="N285" i="4"/>
  <c r="L285" i="4"/>
  <c r="O285" i="4" s="1"/>
  <c r="N284" i="4"/>
  <c r="L284" i="4"/>
  <c r="O284" i="4" s="1"/>
  <c r="N283" i="4"/>
  <c r="L283" i="4"/>
  <c r="O283" i="4" s="1"/>
  <c r="N282" i="4"/>
  <c r="L282" i="4"/>
  <c r="N281" i="4"/>
  <c r="L281" i="4"/>
  <c r="N280" i="4"/>
  <c r="L280" i="4"/>
  <c r="O280" i="4" s="1"/>
  <c r="N279" i="4"/>
  <c r="L279" i="4"/>
  <c r="O279" i="4" s="1"/>
  <c r="N278" i="4"/>
  <c r="L278" i="4"/>
  <c r="O278" i="4" s="1"/>
  <c r="N277" i="4"/>
  <c r="L277" i="4"/>
  <c r="N276" i="4"/>
  <c r="L276" i="4"/>
  <c r="N275" i="4"/>
  <c r="L275" i="4"/>
  <c r="O275" i="4" s="1"/>
  <c r="N274" i="4"/>
  <c r="L274" i="4"/>
  <c r="O274" i="4" s="1"/>
  <c r="N273" i="4"/>
  <c r="L273" i="4"/>
  <c r="O273" i="4" s="1"/>
  <c r="N272" i="4"/>
  <c r="L272" i="4"/>
  <c r="O272" i="4" s="1"/>
  <c r="N271" i="4"/>
  <c r="L271" i="4"/>
  <c r="O271" i="4" s="1"/>
  <c r="N270" i="4"/>
  <c r="L270" i="4"/>
  <c r="O270" i="4" s="1"/>
  <c r="N269" i="4"/>
  <c r="L269" i="4"/>
  <c r="N268" i="4"/>
  <c r="L268" i="4"/>
  <c r="N267" i="4"/>
  <c r="L267" i="4"/>
  <c r="O267" i="4" s="1"/>
  <c r="N266" i="4"/>
  <c r="L266" i="4"/>
  <c r="O266" i="4" s="1"/>
  <c r="N265" i="4"/>
  <c r="L265" i="4"/>
  <c r="N264" i="4"/>
  <c r="L264" i="4"/>
  <c r="O264" i="4" s="1"/>
  <c r="N263" i="4"/>
  <c r="L263" i="4"/>
  <c r="O263" i="4" s="1"/>
  <c r="N262" i="4"/>
  <c r="L262" i="4"/>
  <c r="N261" i="4"/>
  <c r="L261" i="4"/>
  <c r="O261" i="4" s="1"/>
  <c r="N260" i="4"/>
  <c r="L260" i="4"/>
  <c r="N259" i="4"/>
  <c r="L259" i="4"/>
  <c r="N258" i="4"/>
  <c r="L258" i="4"/>
  <c r="O258" i="4" s="1"/>
  <c r="N257" i="4"/>
  <c r="L257" i="4"/>
  <c r="N256" i="4"/>
  <c r="L256" i="4"/>
  <c r="O256" i="4" s="1"/>
  <c r="N255" i="4"/>
  <c r="L255" i="4"/>
  <c r="O255" i="4" s="1"/>
  <c r="N254" i="4"/>
  <c r="L254" i="4"/>
  <c r="O254" i="4" s="1"/>
  <c r="N253" i="4"/>
  <c r="L253" i="4"/>
  <c r="N252" i="4"/>
  <c r="L252" i="4"/>
  <c r="O252" i="4" s="1"/>
  <c r="N251" i="4"/>
  <c r="L251" i="4"/>
  <c r="O251" i="4" s="1"/>
  <c r="N250" i="4"/>
  <c r="L250" i="4"/>
  <c r="N249" i="4"/>
  <c r="L249" i="4"/>
  <c r="N248" i="4"/>
  <c r="L248" i="4"/>
  <c r="N247" i="4"/>
  <c r="L247" i="4"/>
  <c r="N246" i="4"/>
  <c r="L246" i="4"/>
  <c r="O246" i="4" s="1"/>
  <c r="N245" i="4"/>
  <c r="L245" i="4"/>
  <c r="N244" i="4"/>
  <c r="L244" i="4"/>
  <c r="N243" i="4"/>
  <c r="L243" i="4"/>
  <c r="O243" i="4" s="1"/>
  <c r="N242" i="4"/>
  <c r="L242" i="4"/>
  <c r="N241" i="4"/>
  <c r="L241" i="4"/>
  <c r="N240" i="4"/>
  <c r="L240" i="4"/>
  <c r="O240" i="4" s="1"/>
  <c r="N239" i="4"/>
  <c r="L239" i="4"/>
  <c r="O239" i="4" s="1"/>
  <c r="N238" i="4"/>
  <c r="L238" i="4"/>
  <c r="N237" i="4"/>
  <c r="L237" i="4"/>
  <c r="O237" i="4" s="1"/>
  <c r="N236" i="4"/>
  <c r="L236" i="4"/>
  <c r="N235" i="4"/>
  <c r="L235" i="4"/>
  <c r="N234" i="4"/>
  <c r="L234" i="4"/>
  <c r="O234" i="4" s="1"/>
  <c r="N233" i="4"/>
  <c r="L233" i="4"/>
  <c r="N232" i="4"/>
  <c r="L232" i="4"/>
  <c r="O232" i="4" s="1"/>
  <c r="N231" i="4"/>
  <c r="L231" i="4"/>
  <c r="O231" i="4" s="1"/>
  <c r="N230" i="4"/>
  <c r="L230" i="4"/>
  <c r="O230" i="4" s="1"/>
  <c r="N229" i="4"/>
  <c r="L229" i="4"/>
  <c r="N228" i="4"/>
  <c r="L228" i="4"/>
  <c r="O228" i="4" s="1"/>
  <c r="N227" i="4"/>
  <c r="L227" i="4"/>
  <c r="O227" i="4" s="1"/>
  <c r="N226" i="4"/>
  <c r="L226" i="4"/>
  <c r="N225" i="4"/>
  <c r="L225" i="4"/>
  <c r="N224" i="4"/>
  <c r="L224" i="4"/>
  <c r="N223" i="4"/>
  <c r="L223" i="4"/>
  <c r="N222" i="4"/>
  <c r="L222" i="4"/>
  <c r="O222" i="4" s="1"/>
  <c r="N221" i="4"/>
  <c r="L221" i="4"/>
  <c r="N220" i="4"/>
  <c r="L220" i="4"/>
  <c r="N219" i="4"/>
  <c r="L219" i="4"/>
  <c r="O219" i="4" s="1"/>
  <c r="N218" i="4"/>
  <c r="L218" i="4"/>
  <c r="O218" i="4" s="1"/>
  <c r="N217" i="4"/>
  <c r="L217" i="4"/>
  <c r="N216" i="4"/>
  <c r="L216" i="4"/>
  <c r="O216" i="4" s="1"/>
  <c r="N215" i="4"/>
  <c r="L215" i="4"/>
  <c r="O215" i="4" s="1"/>
  <c r="N214" i="4"/>
  <c r="L214" i="4"/>
  <c r="N213" i="4"/>
  <c r="L213" i="4"/>
  <c r="O213" i="4" s="1"/>
  <c r="N212" i="4"/>
  <c r="L212" i="4"/>
  <c r="N211" i="4"/>
  <c r="L211" i="4"/>
  <c r="N210" i="4"/>
  <c r="L210" i="4"/>
  <c r="O210" i="4" s="1"/>
  <c r="N209" i="4"/>
  <c r="L209" i="4"/>
  <c r="N208" i="4"/>
  <c r="L208" i="4"/>
  <c r="N207" i="4"/>
  <c r="L207" i="4"/>
  <c r="O207" i="4" s="1"/>
  <c r="N206" i="4"/>
  <c r="L206" i="4"/>
  <c r="O206" i="4" s="1"/>
  <c r="N205" i="4"/>
  <c r="L205" i="4"/>
  <c r="N204" i="4"/>
  <c r="L204" i="4"/>
  <c r="O204" i="4" s="1"/>
  <c r="N203" i="4"/>
  <c r="L203" i="4"/>
  <c r="O203" i="4" s="1"/>
  <c r="N202" i="4"/>
  <c r="L202" i="4"/>
  <c r="N201" i="4"/>
  <c r="L201" i="4"/>
  <c r="N200" i="4"/>
  <c r="L200" i="4"/>
  <c r="N199" i="4"/>
  <c r="L199" i="4"/>
  <c r="N198" i="4"/>
  <c r="L198" i="4"/>
  <c r="O198" i="4" s="1"/>
  <c r="N197" i="4"/>
  <c r="L197" i="4"/>
  <c r="N196" i="4"/>
  <c r="L196" i="4"/>
  <c r="N195" i="4"/>
  <c r="L195" i="4"/>
  <c r="O195" i="4" s="1"/>
  <c r="N194" i="4"/>
  <c r="L194" i="4"/>
  <c r="O194" i="4" s="1"/>
  <c r="N193" i="4"/>
  <c r="L193" i="4"/>
  <c r="N192" i="4"/>
  <c r="L192" i="4"/>
  <c r="O192" i="4" s="1"/>
  <c r="N191" i="4"/>
  <c r="L191" i="4"/>
  <c r="N190" i="4"/>
  <c r="L190" i="4"/>
  <c r="N189" i="4"/>
  <c r="L189" i="4"/>
  <c r="O189" i="4" s="1"/>
  <c r="N188" i="4"/>
  <c r="L188" i="4"/>
  <c r="N187" i="4"/>
  <c r="L187" i="4"/>
  <c r="N186" i="4"/>
  <c r="L186" i="4"/>
  <c r="O186" i="4" s="1"/>
  <c r="N185" i="4"/>
  <c r="L185" i="4"/>
  <c r="O185" i="4" s="1"/>
  <c r="N184" i="4"/>
  <c r="L184" i="4"/>
  <c r="O184" i="4" s="1"/>
  <c r="N183" i="4"/>
  <c r="L183" i="4"/>
  <c r="O183" i="4" s="1"/>
  <c r="N182" i="4"/>
  <c r="L182" i="4"/>
  <c r="O182" i="4" s="1"/>
  <c r="N181" i="4"/>
  <c r="L181" i="4"/>
  <c r="N180" i="4"/>
  <c r="L180" i="4"/>
  <c r="O180" i="4" s="1"/>
  <c r="N179" i="4"/>
  <c r="L179" i="4"/>
  <c r="O179" i="4" s="1"/>
  <c r="N178" i="4"/>
  <c r="L178" i="4"/>
  <c r="N177" i="4"/>
  <c r="L177" i="4"/>
  <c r="N176" i="4"/>
  <c r="O176" i="4" s="1"/>
  <c r="L176" i="4"/>
  <c r="N175" i="4"/>
  <c r="L175" i="4"/>
  <c r="N174" i="4"/>
  <c r="L174" i="4"/>
  <c r="O174" i="4" s="1"/>
  <c r="N173" i="4"/>
  <c r="L173" i="4"/>
  <c r="N172" i="4"/>
  <c r="L172" i="4"/>
  <c r="N171" i="4"/>
  <c r="L171" i="4"/>
  <c r="O171" i="4" s="1"/>
  <c r="N170" i="4"/>
  <c r="L170" i="4"/>
  <c r="O170" i="4" s="1"/>
  <c r="N169" i="4"/>
  <c r="L169" i="4"/>
  <c r="N168" i="4"/>
  <c r="L168" i="4"/>
  <c r="O168" i="4" s="1"/>
  <c r="N167" i="4"/>
  <c r="L167" i="4"/>
  <c r="O167" i="4" s="1"/>
  <c r="N166" i="4"/>
  <c r="L166" i="4"/>
  <c r="N165" i="4"/>
  <c r="L165" i="4"/>
  <c r="O165" i="4" s="1"/>
  <c r="N164" i="4"/>
  <c r="O164" i="4" s="1"/>
  <c r="L164" i="4"/>
  <c r="N163" i="4"/>
  <c r="L163" i="4"/>
  <c r="N162" i="4"/>
  <c r="L162" i="4"/>
  <c r="O162" i="4" s="1"/>
  <c r="N161" i="4"/>
  <c r="L161" i="4"/>
  <c r="N160" i="4"/>
  <c r="L160" i="4"/>
  <c r="O160" i="4" s="1"/>
  <c r="N159" i="4"/>
  <c r="L159" i="4"/>
  <c r="O159" i="4" s="1"/>
  <c r="N158" i="4"/>
  <c r="L158" i="4"/>
  <c r="O158" i="4" s="1"/>
  <c r="N157" i="4"/>
  <c r="L157" i="4"/>
  <c r="N156" i="4"/>
  <c r="L156" i="4"/>
  <c r="O156" i="4" s="1"/>
  <c r="N155" i="4"/>
  <c r="L155" i="4"/>
  <c r="O155" i="4" s="1"/>
  <c r="N154" i="4"/>
  <c r="L154" i="4"/>
  <c r="N153" i="4"/>
  <c r="L153" i="4"/>
  <c r="N152" i="4"/>
  <c r="O152" i="4" s="1"/>
  <c r="L152" i="4"/>
  <c r="N151" i="4"/>
  <c r="L151" i="4"/>
  <c r="N150" i="4"/>
  <c r="L150" i="4"/>
  <c r="O150" i="4" s="1"/>
  <c r="N149" i="4"/>
  <c r="L149" i="4"/>
  <c r="N148" i="4"/>
  <c r="L148" i="4"/>
  <c r="N147" i="4"/>
  <c r="L147" i="4"/>
  <c r="O147" i="4" s="1"/>
  <c r="N146" i="4"/>
  <c r="L146" i="4"/>
  <c r="N145" i="4"/>
  <c r="L145" i="4"/>
  <c r="O145" i="4" s="1"/>
  <c r="N144" i="4"/>
  <c r="L144" i="4"/>
  <c r="O144" i="4" s="1"/>
  <c r="N143" i="4"/>
  <c r="L143" i="4"/>
  <c r="O143" i="4" s="1"/>
  <c r="N142" i="4"/>
  <c r="L142" i="4"/>
  <c r="N141" i="4"/>
  <c r="L141" i="4"/>
  <c r="O141" i="4" s="1"/>
  <c r="N140" i="4"/>
  <c r="O140" i="4" s="1"/>
  <c r="L140" i="4"/>
  <c r="N139" i="4"/>
  <c r="L139" i="4"/>
  <c r="N138" i="4"/>
  <c r="L138" i="4"/>
  <c r="O138" i="4" s="1"/>
  <c r="N137" i="4"/>
  <c r="L137" i="4"/>
  <c r="N136" i="4"/>
  <c r="L136" i="4"/>
  <c r="O136" i="4" s="1"/>
  <c r="N135" i="4"/>
  <c r="L135" i="4"/>
  <c r="O135" i="4" s="1"/>
  <c r="N134" i="4"/>
  <c r="L134" i="4"/>
  <c r="O134" i="4" s="1"/>
  <c r="N133" i="4"/>
  <c r="L133" i="4"/>
  <c r="O133" i="4" s="1"/>
  <c r="N132" i="4"/>
  <c r="L132" i="4"/>
  <c r="O132" i="4" s="1"/>
  <c r="N131" i="4"/>
  <c r="L131" i="4"/>
  <c r="O131" i="4" s="1"/>
  <c r="N130" i="4"/>
  <c r="L130" i="4"/>
  <c r="N129" i="4"/>
  <c r="L129" i="4"/>
  <c r="N128" i="4"/>
  <c r="O128" i="4" s="1"/>
  <c r="L128" i="4"/>
  <c r="N127" i="4"/>
  <c r="L127" i="4"/>
  <c r="O127" i="4" s="1"/>
  <c r="N126" i="4"/>
  <c r="L126" i="4"/>
  <c r="O126" i="4" s="1"/>
  <c r="N125" i="4"/>
  <c r="L125" i="4"/>
  <c r="N124" i="4"/>
  <c r="L124" i="4"/>
  <c r="N123" i="4"/>
  <c r="L123" i="4"/>
  <c r="O123" i="4" s="1"/>
  <c r="N122" i="4"/>
  <c r="L122" i="4"/>
  <c r="O122" i="4" s="1"/>
  <c r="N121" i="4"/>
  <c r="L121" i="4"/>
  <c r="O121" i="4" s="1"/>
  <c r="N120" i="4"/>
  <c r="L120" i="4"/>
  <c r="O120" i="4" s="1"/>
  <c r="N119" i="4"/>
  <c r="L119" i="4"/>
  <c r="O119" i="4" s="1"/>
  <c r="N118" i="4"/>
  <c r="L118" i="4"/>
  <c r="N117" i="4"/>
  <c r="L117" i="4"/>
  <c r="O117" i="4" s="1"/>
  <c r="N116" i="4"/>
  <c r="O116" i="4" s="1"/>
  <c r="L116" i="4"/>
  <c r="N115" i="4"/>
  <c r="L115" i="4"/>
  <c r="O115" i="4" s="1"/>
  <c r="N114" i="4"/>
  <c r="L114" i="4"/>
  <c r="O114" i="4" s="1"/>
  <c r="N113" i="4"/>
  <c r="L113" i="4"/>
  <c r="N112" i="4"/>
  <c r="L112" i="4"/>
  <c r="N111" i="4"/>
  <c r="L111" i="4"/>
  <c r="O111" i="4" s="1"/>
  <c r="N110" i="4"/>
  <c r="L110" i="4"/>
  <c r="O110" i="4" s="1"/>
  <c r="N109" i="4"/>
  <c r="L109" i="4"/>
  <c r="N108" i="4"/>
  <c r="L108" i="4"/>
  <c r="O108" i="4" s="1"/>
  <c r="N107" i="4"/>
  <c r="L107" i="4"/>
  <c r="O107" i="4" s="1"/>
  <c r="N106" i="4"/>
  <c r="L106" i="4"/>
  <c r="N105" i="4"/>
  <c r="L105" i="4"/>
  <c r="N104" i="4"/>
  <c r="O104" i="4" s="1"/>
  <c r="L104" i="4"/>
  <c r="N103" i="4"/>
  <c r="L103" i="4"/>
  <c r="N102" i="4"/>
  <c r="L102" i="4"/>
  <c r="O102" i="4" s="1"/>
  <c r="N101" i="4"/>
  <c r="L101" i="4"/>
  <c r="N100" i="4"/>
  <c r="L100" i="4"/>
  <c r="N99" i="4"/>
  <c r="L99" i="4"/>
  <c r="O99" i="4" s="1"/>
  <c r="N98" i="4"/>
  <c r="L98" i="4"/>
  <c r="O98" i="4" s="1"/>
  <c r="N97" i="4"/>
  <c r="L97" i="4"/>
  <c r="O97" i="4" s="1"/>
  <c r="N96" i="4"/>
  <c r="L96" i="4"/>
  <c r="O96" i="4" s="1"/>
  <c r="N95" i="4"/>
  <c r="L95" i="4"/>
  <c r="N94" i="4"/>
  <c r="L94" i="4"/>
  <c r="N93" i="4"/>
  <c r="L93" i="4"/>
  <c r="O93" i="4" s="1"/>
  <c r="N92" i="4"/>
  <c r="O92" i="4" s="1"/>
  <c r="L92" i="4"/>
  <c r="N91" i="4"/>
  <c r="L91" i="4"/>
  <c r="O91" i="4" s="1"/>
  <c r="N90" i="4"/>
  <c r="L90" i="4"/>
  <c r="N89" i="4"/>
  <c r="L89" i="4"/>
  <c r="O89" i="4" s="1"/>
  <c r="N88" i="4"/>
  <c r="L88" i="4"/>
  <c r="O88" i="4" s="1"/>
  <c r="N87" i="4"/>
  <c r="L87" i="4"/>
  <c r="O87" i="4" s="1"/>
  <c r="N86" i="4"/>
  <c r="L86" i="4"/>
  <c r="N85" i="4"/>
  <c r="L85" i="4"/>
  <c r="N84" i="4"/>
  <c r="L84" i="4"/>
  <c r="N83" i="4"/>
  <c r="L83" i="4"/>
  <c r="O83" i="4" s="1"/>
  <c r="N82" i="4"/>
  <c r="L82" i="4"/>
  <c r="O82" i="4" s="1"/>
  <c r="N81" i="4"/>
  <c r="L81" i="4"/>
  <c r="O81" i="4" s="1"/>
  <c r="N80" i="4"/>
  <c r="L80" i="4"/>
  <c r="O80" i="4" s="1"/>
  <c r="N79" i="4"/>
  <c r="L79" i="4"/>
  <c r="N78" i="4"/>
  <c r="L78" i="4"/>
  <c r="O78" i="4" s="1"/>
  <c r="N77" i="4"/>
  <c r="L77" i="4"/>
  <c r="N76" i="4"/>
  <c r="L76" i="4"/>
  <c r="N75" i="4"/>
  <c r="L75" i="4"/>
  <c r="O75" i="4" s="1"/>
  <c r="N74" i="4"/>
  <c r="O74" i="4" s="1"/>
  <c r="L74" i="4"/>
  <c r="N73" i="4"/>
  <c r="L73" i="4"/>
  <c r="N72" i="4"/>
  <c r="L72" i="4"/>
  <c r="N71" i="4"/>
  <c r="L71" i="4"/>
  <c r="O71" i="4" s="1"/>
  <c r="N70" i="4"/>
  <c r="L70" i="4"/>
  <c r="O70" i="4" s="1"/>
  <c r="N69" i="4"/>
  <c r="L69" i="4"/>
  <c r="O69" i="4" s="1"/>
  <c r="N68" i="4"/>
  <c r="L68" i="4"/>
  <c r="O68" i="4" s="1"/>
  <c r="N67" i="4"/>
  <c r="L67" i="4"/>
  <c r="O67" i="4" s="1"/>
  <c r="N66" i="4"/>
  <c r="L66" i="4"/>
  <c r="O66" i="4" s="1"/>
  <c r="N65" i="4"/>
  <c r="L65" i="4"/>
  <c r="N64" i="4"/>
  <c r="L64" i="4"/>
  <c r="N63" i="4"/>
  <c r="L63" i="4"/>
  <c r="O63" i="4" s="1"/>
  <c r="N62" i="4"/>
  <c r="L62" i="4"/>
  <c r="O62" i="4" s="1"/>
  <c r="N61" i="4"/>
  <c r="L61" i="4"/>
  <c r="N60" i="4"/>
  <c r="L60" i="4"/>
  <c r="N59" i="4"/>
  <c r="L59" i="4"/>
  <c r="O59" i="4" s="1"/>
  <c r="N58" i="4"/>
  <c r="L58" i="4"/>
  <c r="O58" i="4" s="1"/>
  <c r="N57" i="4"/>
  <c r="L57" i="4"/>
  <c r="O57" i="4" s="1"/>
  <c r="N56" i="4"/>
  <c r="L56" i="4"/>
  <c r="O56" i="4" s="1"/>
  <c r="N55" i="4"/>
  <c r="L55" i="4"/>
  <c r="N54" i="4"/>
  <c r="L54" i="4"/>
  <c r="N53" i="4"/>
  <c r="L53" i="4"/>
  <c r="O53" i="4" s="1"/>
  <c r="N52" i="4"/>
  <c r="L52" i="4"/>
  <c r="N51" i="4"/>
  <c r="L51" i="4"/>
  <c r="O51" i="4" s="1"/>
  <c r="N50" i="4"/>
  <c r="O50" i="4" s="1"/>
  <c r="L50" i="4"/>
  <c r="N49" i="4"/>
  <c r="L49" i="4"/>
  <c r="N48" i="4"/>
  <c r="L48" i="4"/>
  <c r="N47" i="4"/>
  <c r="L47" i="4"/>
  <c r="O47" i="4" s="1"/>
  <c r="N46" i="4"/>
  <c r="L46" i="4"/>
  <c r="O46" i="4" s="1"/>
  <c r="N45" i="4"/>
  <c r="L45" i="4"/>
  <c r="O45" i="4" s="1"/>
  <c r="N44" i="4"/>
  <c r="L44" i="4"/>
  <c r="O44" i="4" s="1"/>
  <c r="N43" i="4"/>
  <c r="L43" i="4"/>
  <c r="N42" i="4"/>
  <c r="L42" i="4"/>
  <c r="N41" i="4"/>
  <c r="L41" i="4"/>
  <c r="N40" i="4"/>
  <c r="L40" i="4"/>
  <c r="O40" i="4" s="1"/>
  <c r="N39" i="4"/>
  <c r="L39" i="4"/>
  <c r="O39" i="4" s="1"/>
  <c r="N38" i="4"/>
  <c r="O38" i="4" s="1"/>
  <c r="L38" i="4"/>
  <c r="N37" i="4"/>
  <c r="L37" i="4"/>
  <c r="N36" i="4"/>
  <c r="L36" i="4"/>
  <c r="O36" i="4" s="1"/>
  <c r="N35" i="4"/>
  <c r="L35" i="4"/>
  <c r="O35" i="4" s="1"/>
  <c r="N34" i="4"/>
  <c r="L34" i="4"/>
  <c r="O34" i="4" s="1"/>
  <c r="N33" i="4"/>
  <c r="L33" i="4"/>
  <c r="O33" i="4" s="1"/>
  <c r="N32" i="4"/>
  <c r="L32" i="4"/>
  <c r="O32" i="4" s="1"/>
  <c r="N31" i="4"/>
  <c r="L31" i="4"/>
  <c r="N30" i="4"/>
  <c r="L30" i="4"/>
  <c r="N29" i="4"/>
  <c r="L29" i="4"/>
  <c r="O29" i="4" s="1"/>
  <c r="N28" i="4"/>
  <c r="L28" i="4"/>
  <c r="N27" i="4"/>
  <c r="L27" i="4"/>
  <c r="O27" i="4" s="1"/>
  <c r="N26" i="4"/>
  <c r="L26" i="4"/>
  <c r="N25" i="4"/>
  <c r="L25" i="4"/>
  <c r="N24" i="4"/>
  <c r="L24" i="4"/>
  <c r="N23" i="4"/>
  <c r="L23" i="4"/>
  <c r="O23" i="4" s="1"/>
  <c r="N22" i="4"/>
  <c r="L22" i="4"/>
  <c r="O22" i="4" s="1"/>
  <c r="N21" i="4"/>
  <c r="L21" i="4"/>
  <c r="O21" i="4" s="1"/>
  <c r="N20" i="4"/>
  <c r="L20" i="4"/>
  <c r="O20" i="4" s="1"/>
  <c r="N19" i="4"/>
  <c r="L19" i="4"/>
  <c r="N18" i="4"/>
  <c r="L18" i="4"/>
  <c r="N17" i="4"/>
  <c r="L17" i="4"/>
  <c r="N16" i="4"/>
  <c r="L16" i="4"/>
  <c r="N15" i="4"/>
  <c r="L15" i="4"/>
  <c r="O15" i="4" s="1"/>
  <c r="N14" i="4"/>
  <c r="L14" i="4"/>
  <c r="O14" i="4" s="1"/>
  <c r="N13" i="4"/>
  <c r="L13" i="4"/>
  <c r="N12" i="4"/>
  <c r="L12" i="4"/>
  <c r="L11" i="4"/>
  <c r="O173" i="3"/>
  <c r="O200" i="3"/>
  <c r="O225" i="3"/>
  <c r="O227" i="3"/>
  <c r="O228" i="3"/>
  <c r="O296" i="3"/>
  <c r="O309" i="3"/>
  <c r="O140" i="3"/>
  <c r="O115" i="3"/>
  <c r="O80" i="3"/>
  <c r="O82" i="3"/>
  <c r="O92" i="3"/>
  <c r="O55" i="3"/>
  <c r="O34" i="3"/>
  <c r="O43" i="3"/>
  <c r="O45" i="3"/>
  <c r="O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11" i="3"/>
  <c r="L12" i="3"/>
  <c r="O12" i="3" s="1"/>
  <c r="L13" i="3"/>
  <c r="O13" i="3" s="1"/>
  <c r="L14" i="3"/>
  <c r="O14" i="3" s="1"/>
  <c r="L15" i="3"/>
  <c r="O15" i="3" s="1"/>
  <c r="L16" i="3"/>
  <c r="O16" i="3" s="1"/>
  <c r="L17" i="3"/>
  <c r="O17" i="3" s="1"/>
  <c r="L18" i="3"/>
  <c r="O18" i="3" s="1"/>
  <c r="L19" i="3"/>
  <c r="O19" i="3" s="1"/>
  <c r="L20" i="3"/>
  <c r="O20" i="3" s="1"/>
  <c r="L21" i="3"/>
  <c r="O21" i="3" s="1"/>
  <c r="L22" i="3"/>
  <c r="O22" i="3" s="1"/>
  <c r="L23" i="3"/>
  <c r="O23" i="3" s="1"/>
  <c r="L24" i="3"/>
  <c r="O24" i="3" s="1"/>
  <c r="L25" i="3"/>
  <c r="O25" i="3" s="1"/>
  <c r="L26" i="3"/>
  <c r="O26" i="3" s="1"/>
  <c r="L27" i="3"/>
  <c r="O27" i="3" s="1"/>
  <c r="L28" i="3"/>
  <c r="O28" i="3" s="1"/>
  <c r="L29" i="3"/>
  <c r="O29" i="3" s="1"/>
  <c r="L30" i="3"/>
  <c r="O30" i="3" s="1"/>
  <c r="L31" i="3"/>
  <c r="O31" i="3" s="1"/>
  <c r="L32" i="3"/>
  <c r="O32" i="3" s="1"/>
  <c r="L33" i="3"/>
  <c r="O33" i="3" s="1"/>
  <c r="L34" i="3"/>
  <c r="L35" i="3"/>
  <c r="O35" i="3" s="1"/>
  <c r="L36" i="3"/>
  <c r="O36" i="3" s="1"/>
  <c r="L37" i="3"/>
  <c r="O37" i="3" s="1"/>
  <c r="L38" i="3"/>
  <c r="O38" i="3" s="1"/>
  <c r="L39" i="3"/>
  <c r="O39" i="3" s="1"/>
  <c r="L40" i="3"/>
  <c r="O40" i="3" s="1"/>
  <c r="L41" i="3"/>
  <c r="O41" i="3" s="1"/>
  <c r="L42" i="3"/>
  <c r="O42" i="3" s="1"/>
  <c r="L43" i="3"/>
  <c r="L44" i="3"/>
  <c r="O44" i="3" s="1"/>
  <c r="L45" i="3"/>
  <c r="L46" i="3"/>
  <c r="O46" i="3" s="1"/>
  <c r="L47" i="3"/>
  <c r="O47" i="3" s="1"/>
  <c r="L48" i="3"/>
  <c r="O48" i="3" s="1"/>
  <c r="L49" i="3"/>
  <c r="O49" i="3" s="1"/>
  <c r="L50" i="3"/>
  <c r="O50" i="3" s="1"/>
  <c r="L51" i="3"/>
  <c r="O51" i="3" s="1"/>
  <c r="L52" i="3"/>
  <c r="O52" i="3" s="1"/>
  <c r="L53" i="3"/>
  <c r="O53" i="3" s="1"/>
  <c r="L54" i="3"/>
  <c r="O54" i="3" s="1"/>
  <c r="L55" i="3"/>
  <c r="L56" i="3"/>
  <c r="O56" i="3" s="1"/>
  <c r="L57" i="3"/>
  <c r="O57" i="3" s="1"/>
  <c r="L58" i="3"/>
  <c r="O58" i="3" s="1"/>
  <c r="L59" i="3"/>
  <c r="O59" i="3" s="1"/>
  <c r="L60" i="3"/>
  <c r="O60" i="3" s="1"/>
  <c r="L61" i="3"/>
  <c r="O61" i="3" s="1"/>
  <c r="L62" i="3"/>
  <c r="O62" i="3" s="1"/>
  <c r="L63" i="3"/>
  <c r="O63" i="3" s="1"/>
  <c r="L64" i="3"/>
  <c r="O64" i="3" s="1"/>
  <c r="L65" i="3"/>
  <c r="O65" i="3" s="1"/>
  <c r="L66" i="3"/>
  <c r="O66" i="3" s="1"/>
  <c r="L67" i="3"/>
  <c r="O67" i="3" s="1"/>
  <c r="L68" i="3"/>
  <c r="O68" i="3" s="1"/>
  <c r="L69" i="3"/>
  <c r="O69" i="3" s="1"/>
  <c r="L70" i="3"/>
  <c r="O70" i="3" s="1"/>
  <c r="L71" i="3"/>
  <c r="O71" i="3" s="1"/>
  <c r="L72" i="3"/>
  <c r="O72" i="3" s="1"/>
  <c r="L73" i="3"/>
  <c r="O73" i="3" s="1"/>
  <c r="L74" i="3"/>
  <c r="O74" i="3" s="1"/>
  <c r="L75" i="3"/>
  <c r="O75" i="3" s="1"/>
  <c r="L76" i="3"/>
  <c r="O76" i="3" s="1"/>
  <c r="L77" i="3"/>
  <c r="O77" i="3" s="1"/>
  <c r="L78" i="3"/>
  <c r="O78" i="3" s="1"/>
  <c r="L79" i="3"/>
  <c r="O79" i="3" s="1"/>
  <c r="L80" i="3"/>
  <c r="L81" i="3"/>
  <c r="O81" i="3" s="1"/>
  <c r="L82" i="3"/>
  <c r="L83" i="3"/>
  <c r="O83" i="3" s="1"/>
  <c r="L84" i="3"/>
  <c r="O84" i="3" s="1"/>
  <c r="L85" i="3"/>
  <c r="O85" i="3" s="1"/>
  <c r="L86" i="3"/>
  <c r="O86" i="3" s="1"/>
  <c r="L87" i="3"/>
  <c r="O87" i="3" s="1"/>
  <c r="L88" i="3"/>
  <c r="O88" i="3" s="1"/>
  <c r="L89" i="3"/>
  <c r="O89" i="3" s="1"/>
  <c r="L90" i="3"/>
  <c r="O90" i="3" s="1"/>
  <c r="L91" i="3"/>
  <c r="O91" i="3" s="1"/>
  <c r="L92" i="3"/>
  <c r="L93" i="3"/>
  <c r="O93" i="3" s="1"/>
  <c r="L94" i="3"/>
  <c r="O94" i="3" s="1"/>
  <c r="L95" i="3"/>
  <c r="O95" i="3" s="1"/>
  <c r="L96" i="3"/>
  <c r="O96" i="3" s="1"/>
  <c r="L97" i="3"/>
  <c r="O97" i="3" s="1"/>
  <c r="L98" i="3"/>
  <c r="O98" i="3" s="1"/>
  <c r="L99" i="3"/>
  <c r="O99" i="3" s="1"/>
  <c r="L100" i="3"/>
  <c r="O100" i="3" s="1"/>
  <c r="L101" i="3"/>
  <c r="O101" i="3" s="1"/>
  <c r="L102" i="3"/>
  <c r="O102" i="3" s="1"/>
  <c r="L103" i="3"/>
  <c r="O103" i="3" s="1"/>
  <c r="L104" i="3"/>
  <c r="O104" i="3" s="1"/>
  <c r="L105" i="3"/>
  <c r="O105" i="3" s="1"/>
  <c r="L106" i="3"/>
  <c r="O106" i="3" s="1"/>
  <c r="L107" i="3"/>
  <c r="O107" i="3" s="1"/>
  <c r="L108" i="3"/>
  <c r="O108" i="3" s="1"/>
  <c r="L109" i="3"/>
  <c r="O109" i="3" s="1"/>
  <c r="L110" i="3"/>
  <c r="O110" i="3" s="1"/>
  <c r="L111" i="3"/>
  <c r="O111" i="3" s="1"/>
  <c r="L112" i="3"/>
  <c r="O112" i="3" s="1"/>
  <c r="L113" i="3"/>
  <c r="O113" i="3" s="1"/>
  <c r="L114" i="3"/>
  <c r="O114" i="3" s="1"/>
  <c r="L115" i="3"/>
  <c r="L116" i="3"/>
  <c r="O116" i="3" s="1"/>
  <c r="L117" i="3"/>
  <c r="O117" i="3" s="1"/>
  <c r="L118" i="3"/>
  <c r="O118" i="3" s="1"/>
  <c r="L119" i="3"/>
  <c r="O119" i="3" s="1"/>
  <c r="L120" i="3"/>
  <c r="O120" i="3" s="1"/>
  <c r="L121" i="3"/>
  <c r="O121" i="3" s="1"/>
  <c r="L122" i="3"/>
  <c r="O122" i="3" s="1"/>
  <c r="L123" i="3"/>
  <c r="O123" i="3" s="1"/>
  <c r="L124" i="3"/>
  <c r="O124" i="3" s="1"/>
  <c r="L125" i="3"/>
  <c r="O125" i="3" s="1"/>
  <c r="L126" i="3"/>
  <c r="O126" i="3" s="1"/>
  <c r="L127" i="3"/>
  <c r="O127" i="3" s="1"/>
  <c r="L128" i="3"/>
  <c r="O128" i="3" s="1"/>
  <c r="L129" i="3"/>
  <c r="O129" i="3" s="1"/>
  <c r="L130" i="3"/>
  <c r="O130" i="3" s="1"/>
  <c r="L131" i="3"/>
  <c r="O131" i="3" s="1"/>
  <c r="L132" i="3"/>
  <c r="O132" i="3" s="1"/>
  <c r="L133" i="3"/>
  <c r="O133" i="3" s="1"/>
  <c r="L134" i="3"/>
  <c r="O134" i="3" s="1"/>
  <c r="L135" i="3"/>
  <c r="O135" i="3" s="1"/>
  <c r="L136" i="3"/>
  <c r="O136" i="3" s="1"/>
  <c r="L137" i="3"/>
  <c r="O137" i="3" s="1"/>
  <c r="L138" i="3"/>
  <c r="O138" i="3" s="1"/>
  <c r="L139" i="3"/>
  <c r="O139" i="3" s="1"/>
  <c r="L140" i="3"/>
  <c r="L141" i="3"/>
  <c r="O141" i="3" s="1"/>
  <c r="L142" i="3"/>
  <c r="O142" i="3" s="1"/>
  <c r="L143" i="3"/>
  <c r="O143" i="3" s="1"/>
  <c r="L144" i="3"/>
  <c r="O144" i="3" s="1"/>
  <c r="L145" i="3"/>
  <c r="O145" i="3" s="1"/>
  <c r="L146" i="3"/>
  <c r="O146" i="3" s="1"/>
  <c r="L147" i="3"/>
  <c r="O147" i="3" s="1"/>
  <c r="L148" i="3"/>
  <c r="O148" i="3" s="1"/>
  <c r="L149" i="3"/>
  <c r="O149" i="3" s="1"/>
  <c r="L150" i="3"/>
  <c r="O150" i="3" s="1"/>
  <c r="L151" i="3"/>
  <c r="O151" i="3" s="1"/>
  <c r="L152" i="3"/>
  <c r="O152" i="3" s="1"/>
  <c r="L153" i="3"/>
  <c r="O153" i="3" s="1"/>
  <c r="L154" i="3"/>
  <c r="O154" i="3" s="1"/>
  <c r="L155" i="3"/>
  <c r="O155" i="3" s="1"/>
  <c r="L156" i="3"/>
  <c r="O156" i="3" s="1"/>
  <c r="L157" i="3"/>
  <c r="O157" i="3" s="1"/>
  <c r="L158" i="3"/>
  <c r="O158" i="3" s="1"/>
  <c r="L159" i="3"/>
  <c r="O159" i="3" s="1"/>
  <c r="L160" i="3"/>
  <c r="O160" i="3" s="1"/>
  <c r="L161" i="3"/>
  <c r="O161" i="3" s="1"/>
  <c r="L162" i="3"/>
  <c r="O162" i="3" s="1"/>
  <c r="L163" i="3"/>
  <c r="O163" i="3" s="1"/>
  <c r="L164" i="3"/>
  <c r="O164" i="3" s="1"/>
  <c r="L165" i="3"/>
  <c r="O165" i="3" s="1"/>
  <c r="L166" i="3"/>
  <c r="O166" i="3" s="1"/>
  <c r="L167" i="3"/>
  <c r="O167" i="3" s="1"/>
  <c r="L168" i="3"/>
  <c r="O168" i="3" s="1"/>
  <c r="L169" i="3"/>
  <c r="O169" i="3" s="1"/>
  <c r="L170" i="3"/>
  <c r="O170" i="3" s="1"/>
  <c r="L171" i="3"/>
  <c r="O171" i="3" s="1"/>
  <c r="L172" i="3"/>
  <c r="O172" i="3" s="1"/>
  <c r="L173" i="3"/>
  <c r="L174" i="3"/>
  <c r="O174" i="3" s="1"/>
  <c r="L175" i="3"/>
  <c r="O175" i="3" s="1"/>
  <c r="L176" i="3"/>
  <c r="O176" i="3" s="1"/>
  <c r="L177" i="3"/>
  <c r="O177" i="3" s="1"/>
  <c r="L178" i="3"/>
  <c r="O178" i="3" s="1"/>
  <c r="L179" i="3"/>
  <c r="O179" i="3" s="1"/>
  <c r="L180" i="3"/>
  <c r="O180" i="3" s="1"/>
  <c r="L181" i="3"/>
  <c r="O181" i="3" s="1"/>
  <c r="L182" i="3"/>
  <c r="O182" i="3" s="1"/>
  <c r="L183" i="3"/>
  <c r="O183" i="3" s="1"/>
  <c r="L184" i="3"/>
  <c r="O184" i="3" s="1"/>
  <c r="L185" i="3"/>
  <c r="O185" i="3" s="1"/>
  <c r="L186" i="3"/>
  <c r="O186" i="3" s="1"/>
  <c r="L187" i="3"/>
  <c r="O187" i="3" s="1"/>
  <c r="L188" i="3"/>
  <c r="O188" i="3" s="1"/>
  <c r="L189" i="3"/>
  <c r="O189" i="3" s="1"/>
  <c r="L190" i="3"/>
  <c r="O190" i="3" s="1"/>
  <c r="L191" i="3"/>
  <c r="O191" i="3" s="1"/>
  <c r="L192" i="3"/>
  <c r="O192" i="3" s="1"/>
  <c r="L193" i="3"/>
  <c r="O193" i="3" s="1"/>
  <c r="L194" i="3"/>
  <c r="O194" i="3" s="1"/>
  <c r="L195" i="3"/>
  <c r="O195" i="3" s="1"/>
  <c r="L196" i="3"/>
  <c r="O196" i="3" s="1"/>
  <c r="L197" i="3"/>
  <c r="O197" i="3" s="1"/>
  <c r="L198" i="3"/>
  <c r="O198" i="3" s="1"/>
  <c r="L199" i="3"/>
  <c r="O199" i="3" s="1"/>
  <c r="L200" i="3"/>
  <c r="L201" i="3"/>
  <c r="O201" i="3" s="1"/>
  <c r="L202" i="3"/>
  <c r="O202" i="3" s="1"/>
  <c r="L203" i="3"/>
  <c r="O203" i="3" s="1"/>
  <c r="L204" i="3"/>
  <c r="O204" i="3" s="1"/>
  <c r="L205" i="3"/>
  <c r="O205" i="3" s="1"/>
  <c r="L206" i="3"/>
  <c r="O206" i="3" s="1"/>
  <c r="L207" i="3"/>
  <c r="O207" i="3" s="1"/>
  <c r="L208" i="3"/>
  <c r="O208" i="3" s="1"/>
  <c r="L209" i="3"/>
  <c r="O209" i="3" s="1"/>
  <c r="L210" i="3"/>
  <c r="O210" i="3" s="1"/>
  <c r="L211" i="3"/>
  <c r="O211" i="3" s="1"/>
  <c r="L212" i="3"/>
  <c r="O212" i="3" s="1"/>
  <c r="L213" i="3"/>
  <c r="O213" i="3" s="1"/>
  <c r="L214" i="3"/>
  <c r="O214" i="3" s="1"/>
  <c r="L215" i="3"/>
  <c r="O215" i="3" s="1"/>
  <c r="L216" i="3"/>
  <c r="O216" i="3" s="1"/>
  <c r="L217" i="3"/>
  <c r="O217" i="3" s="1"/>
  <c r="L218" i="3"/>
  <c r="O218" i="3" s="1"/>
  <c r="L219" i="3"/>
  <c r="O219" i="3" s="1"/>
  <c r="L220" i="3"/>
  <c r="O220" i="3" s="1"/>
  <c r="L221" i="3"/>
  <c r="O221" i="3" s="1"/>
  <c r="L222" i="3"/>
  <c r="O222" i="3" s="1"/>
  <c r="L223" i="3"/>
  <c r="O223" i="3" s="1"/>
  <c r="L224" i="3"/>
  <c r="O224" i="3" s="1"/>
  <c r="L225" i="3"/>
  <c r="L226" i="3"/>
  <c r="O226" i="3" s="1"/>
  <c r="L227" i="3"/>
  <c r="L228" i="3"/>
  <c r="L229" i="3"/>
  <c r="O229" i="3" s="1"/>
  <c r="L230" i="3"/>
  <c r="O230" i="3" s="1"/>
  <c r="L231" i="3"/>
  <c r="O231" i="3" s="1"/>
  <c r="L232" i="3"/>
  <c r="O232" i="3" s="1"/>
  <c r="L233" i="3"/>
  <c r="O233" i="3" s="1"/>
  <c r="L234" i="3"/>
  <c r="O234" i="3" s="1"/>
  <c r="L235" i="3"/>
  <c r="O235" i="3" s="1"/>
  <c r="L236" i="3"/>
  <c r="O236" i="3" s="1"/>
  <c r="L237" i="3"/>
  <c r="O237" i="3" s="1"/>
  <c r="L238" i="3"/>
  <c r="O238" i="3" s="1"/>
  <c r="L239" i="3"/>
  <c r="O239" i="3" s="1"/>
  <c r="L240" i="3"/>
  <c r="O240" i="3" s="1"/>
  <c r="L241" i="3"/>
  <c r="O241" i="3" s="1"/>
  <c r="L242" i="3"/>
  <c r="O242" i="3" s="1"/>
  <c r="L243" i="3"/>
  <c r="O243" i="3" s="1"/>
  <c r="L244" i="3"/>
  <c r="O244" i="3" s="1"/>
  <c r="L245" i="3"/>
  <c r="O245" i="3" s="1"/>
  <c r="L246" i="3"/>
  <c r="O246" i="3" s="1"/>
  <c r="L247" i="3"/>
  <c r="O247" i="3" s="1"/>
  <c r="L248" i="3"/>
  <c r="O248" i="3" s="1"/>
  <c r="L249" i="3"/>
  <c r="O249" i="3" s="1"/>
  <c r="L250" i="3"/>
  <c r="O250" i="3" s="1"/>
  <c r="L251" i="3"/>
  <c r="O251" i="3" s="1"/>
  <c r="L252" i="3"/>
  <c r="O252" i="3" s="1"/>
  <c r="L253" i="3"/>
  <c r="O253" i="3" s="1"/>
  <c r="L254" i="3"/>
  <c r="O254" i="3" s="1"/>
  <c r="L255" i="3"/>
  <c r="O255" i="3" s="1"/>
  <c r="L256" i="3"/>
  <c r="O256" i="3" s="1"/>
  <c r="L257" i="3"/>
  <c r="O257" i="3" s="1"/>
  <c r="L258" i="3"/>
  <c r="O258" i="3" s="1"/>
  <c r="L259" i="3"/>
  <c r="O259" i="3" s="1"/>
  <c r="L260" i="3"/>
  <c r="O260" i="3" s="1"/>
  <c r="L261" i="3"/>
  <c r="O261" i="3" s="1"/>
  <c r="L262" i="3"/>
  <c r="O262" i="3" s="1"/>
  <c r="L263" i="3"/>
  <c r="O263" i="3" s="1"/>
  <c r="L264" i="3"/>
  <c r="O264" i="3" s="1"/>
  <c r="L265" i="3"/>
  <c r="O265" i="3" s="1"/>
  <c r="L266" i="3"/>
  <c r="O266" i="3" s="1"/>
  <c r="L267" i="3"/>
  <c r="O267" i="3" s="1"/>
  <c r="L268" i="3"/>
  <c r="O268" i="3" s="1"/>
  <c r="L269" i="3"/>
  <c r="O269" i="3" s="1"/>
  <c r="L270" i="3"/>
  <c r="O270" i="3" s="1"/>
  <c r="L271" i="3"/>
  <c r="O271" i="3" s="1"/>
  <c r="L272" i="3"/>
  <c r="O272" i="3" s="1"/>
  <c r="L273" i="3"/>
  <c r="O273" i="3" s="1"/>
  <c r="L274" i="3"/>
  <c r="O274" i="3" s="1"/>
  <c r="L275" i="3"/>
  <c r="O275" i="3" s="1"/>
  <c r="L276" i="3"/>
  <c r="O276" i="3" s="1"/>
  <c r="L277" i="3"/>
  <c r="O277" i="3" s="1"/>
  <c r="L278" i="3"/>
  <c r="O278" i="3" s="1"/>
  <c r="L279" i="3"/>
  <c r="O279" i="3" s="1"/>
  <c r="L280" i="3"/>
  <c r="O280" i="3" s="1"/>
  <c r="L281" i="3"/>
  <c r="O281" i="3" s="1"/>
  <c r="L282" i="3"/>
  <c r="O282" i="3" s="1"/>
  <c r="L283" i="3"/>
  <c r="O283" i="3" s="1"/>
  <c r="L284" i="3"/>
  <c r="O284" i="3" s="1"/>
  <c r="L285" i="3"/>
  <c r="O285" i="3" s="1"/>
  <c r="L286" i="3"/>
  <c r="O286" i="3" s="1"/>
  <c r="L287" i="3"/>
  <c r="O287" i="3" s="1"/>
  <c r="L288" i="3"/>
  <c r="O288" i="3" s="1"/>
  <c r="L289" i="3"/>
  <c r="O289" i="3" s="1"/>
  <c r="L290" i="3"/>
  <c r="O290" i="3" s="1"/>
  <c r="L291" i="3"/>
  <c r="O291" i="3" s="1"/>
  <c r="L292" i="3"/>
  <c r="O292" i="3" s="1"/>
  <c r="L293" i="3"/>
  <c r="O293" i="3" s="1"/>
  <c r="L294" i="3"/>
  <c r="O294" i="3" s="1"/>
  <c r="L295" i="3"/>
  <c r="O295" i="3" s="1"/>
  <c r="L296" i="3"/>
  <c r="L297" i="3"/>
  <c r="O297" i="3" s="1"/>
  <c r="L298" i="3"/>
  <c r="O298" i="3" s="1"/>
  <c r="L299" i="3"/>
  <c r="O299" i="3" s="1"/>
  <c r="L300" i="3"/>
  <c r="O300" i="3" s="1"/>
  <c r="L301" i="3"/>
  <c r="O301" i="3" s="1"/>
  <c r="L302" i="3"/>
  <c r="O302" i="3" s="1"/>
  <c r="L303" i="3"/>
  <c r="O303" i="3" s="1"/>
  <c r="L304" i="3"/>
  <c r="O304" i="3" s="1"/>
  <c r="L305" i="3"/>
  <c r="O305" i="3" s="1"/>
  <c r="L306" i="3"/>
  <c r="O306" i="3" s="1"/>
  <c r="L307" i="3"/>
  <c r="O307" i="3" s="1"/>
  <c r="L308" i="3"/>
  <c r="O308" i="3" s="1"/>
  <c r="L309" i="3"/>
  <c r="L310" i="3"/>
  <c r="O310" i="3" s="1"/>
  <c r="L311" i="3"/>
  <c r="O311" i="3" s="1"/>
  <c r="L312" i="3"/>
  <c r="O312" i="3" s="1"/>
  <c r="L313" i="3"/>
  <c r="O313" i="3" s="1"/>
  <c r="L314" i="3"/>
  <c r="O314" i="3" s="1"/>
  <c r="L315" i="3"/>
  <c r="O315" i="3" s="1"/>
  <c r="L316" i="3"/>
  <c r="O316" i="3" s="1"/>
  <c r="L317" i="3"/>
  <c r="O317" i="3" s="1"/>
  <c r="L318" i="3"/>
  <c r="O318" i="3" s="1"/>
  <c r="L319" i="3"/>
  <c r="O319" i="3" s="1"/>
  <c r="L320" i="3"/>
  <c r="O320" i="3" s="1"/>
  <c r="L321" i="3"/>
  <c r="O321" i="3" s="1"/>
  <c r="L322" i="3"/>
  <c r="O322" i="3" s="1"/>
  <c r="L323" i="3"/>
  <c r="O323" i="3" s="1"/>
  <c r="L324" i="3"/>
  <c r="O324" i="3" s="1"/>
  <c r="L325" i="3"/>
  <c r="O325" i="3" s="1"/>
  <c r="L326" i="3"/>
  <c r="O326" i="3" s="1"/>
  <c r="L327" i="3"/>
  <c r="O327" i="3" s="1"/>
  <c r="L328" i="3"/>
  <c r="O328" i="3" s="1"/>
  <c r="L329" i="3"/>
  <c r="O329" i="3" s="1"/>
  <c r="L330" i="3"/>
  <c r="O330" i="3" s="1"/>
  <c r="L331" i="3"/>
  <c r="O331" i="3" s="1"/>
  <c r="L11" i="3"/>
  <c r="O22" i="6" l="1"/>
  <c r="O130" i="6"/>
  <c r="O178" i="6"/>
  <c r="O238" i="6"/>
  <c r="O286" i="6"/>
  <c r="O73" i="6"/>
  <c r="O85" i="6"/>
  <c r="O121" i="6"/>
  <c r="O157" i="6"/>
  <c r="O229" i="6"/>
  <c r="O265" i="6"/>
  <c r="O313" i="6"/>
  <c r="O122" i="6"/>
  <c r="O158" i="6"/>
  <c r="O194" i="6"/>
  <c r="O230" i="6"/>
  <c r="O266" i="6"/>
  <c r="O302" i="6"/>
  <c r="O88" i="6"/>
  <c r="O136" i="6"/>
  <c r="O220" i="6"/>
  <c r="O161" i="6"/>
  <c r="O269" i="6"/>
  <c r="O112" i="6"/>
  <c r="O196" i="6"/>
  <c r="O244" i="6"/>
  <c r="O304" i="6"/>
  <c r="O45" i="6"/>
  <c r="O309" i="6"/>
  <c r="O56" i="6"/>
  <c r="O201" i="6"/>
  <c r="O237" i="6"/>
  <c r="O320" i="6"/>
  <c r="O35" i="6"/>
  <c r="O93" i="6"/>
  <c r="O129" i="6"/>
  <c r="O212" i="6"/>
  <c r="O248" i="6"/>
  <c r="O104" i="6"/>
  <c r="O120" i="6"/>
  <c r="O140" i="6"/>
  <c r="O192" i="6"/>
  <c r="O321" i="6"/>
  <c r="O20" i="6"/>
  <c r="O36" i="6"/>
  <c r="O84" i="6"/>
  <c r="O213" i="6"/>
  <c r="O285" i="6"/>
  <c r="O26" i="6"/>
  <c r="O74" i="6"/>
  <c r="O105" i="6"/>
  <c r="O110" i="6"/>
  <c r="O177" i="6"/>
  <c r="O224" i="6"/>
  <c r="O275" i="6"/>
  <c r="O296" i="6"/>
  <c r="O311" i="6"/>
  <c r="O21" i="6"/>
  <c r="O69" i="6"/>
  <c r="O116" i="6"/>
  <c r="O167" i="6"/>
  <c r="O183" i="6"/>
  <c r="O188" i="6"/>
  <c r="O203" i="6"/>
  <c r="O219" i="6"/>
  <c r="O59" i="6"/>
  <c r="O75" i="6"/>
  <c r="O80" i="6"/>
  <c r="O95" i="6"/>
  <c r="O111" i="6"/>
  <c r="O261" i="6"/>
  <c r="O297" i="6"/>
  <c r="O38" i="6"/>
  <c r="O153" i="6"/>
  <c r="O189" i="6"/>
  <c r="O251" i="6"/>
  <c r="O33" i="6"/>
  <c r="O60" i="6"/>
  <c r="O81" i="6"/>
  <c r="O143" i="6"/>
  <c r="O231" i="6"/>
  <c r="O287" i="6"/>
  <c r="O57" i="6"/>
  <c r="O62" i="6"/>
  <c r="O87" i="6"/>
  <c r="O117" i="6"/>
  <c r="O141" i="6"/>
  <c r="O146" i="6"/>
  <c r="O156" i="6"/>
  <c r="O165" i="6"/>
  <c r="O170" i="6"/>
  <c r="O195" i="6"/>
  <c r="O225" i="6"/>
  <c r="O249" i="6"/>
  <c r="O254" i="6"/>
  <c r="O264" i="6"/>
  <c r="O273" i="6"/>
  <c r="O278" i="6"/>
  <c r="O303" i="6"/>
  <c r="O11" i="6"/>
  <c r="O47" i="6"/>
  <c r="O107" i="6"/>
  <c r="O131" i="6"/>
  <c r="O215" i="6"/>
  <c r="O239" i="6"/>
  <c r="O323" i="6"/>
  <c r="O27" i="6"/>
  <c r="O32" i="6"/>
  <c r="O63" i="6"/>
  <c r="O68" i="6"/>
  <c r="O147" i="6"/>
  <c r="O152" i="6"/>
  <c r="O171" i="6"/>
  <c r="O176" i="6"/>
  <c r="O255" i="6"/>
  <c r="O260" i="6"/>
  <c r="O279" i="6"/>
  <c r="O284" i="6"/>
  <c r="O12" i="6"/>
  <c r="O17" i="6"/>
  <c r="O48" i="6"/>
  <c r="O53" i="6"/>
  <c r="O108" i="6"/>
  <c r="O113" i="6"/>
  <c r="O137" i="6"/>
  <c r="O216" i="6"/>
  <c r="O221" i="6"/>
  <c r="O245" i="6"/>
  <c r="O324" i="6"/>
  <c r="O329" i="6"/>
  <c r="O102" i="6"/>
  <c r="O138" i="6"/>
  <c r="O174" i="6"/>
  <c r="O210" i="6"/>
  <c r="O246" i="6"/>
  <c r="O282" i="6"/>
  <c r="O318" i="6"/>
  <c r="O96" i="6"/>
  <c r="O132" i="6"/>
  <c r="O168" i="6"/>
  <c r="O204" i="6"/>
  <c r="O240" i="6"/>
  <c r="O276" i="6"/>
  <c r="O312" i="6"/>
  <c r="M12" i="5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O284" i="5"/>
  <c r="O140" i="5"/>
  <c r="O68" i="5"/>
  <c r="O24" i="5"/>
  <c r="O42" i="5"/>
  <c r="O99" i="5"/>
  <c r="O171" i="5"/>
  <c r="O243" i="5"/>
  <c r="O21" i="5"/>
  <c r="O39" i="5"/>
  <c r="O50" i="5"/>
  <c r="O122" i="5"/>
  <c r="O194" i="5"/>
  <c r="O266" i="5"/>
  <c r="O18" i="5"/>
  <c r="O36" i="5"/>
  <c r="O81" i="5"/>
  <c r="O153" i="5"/>
  <c r="O225" i="5"/>
  <c r="O104" i="5"/>
  <c r="O176" i="5"/>
  <c r="O248" i="5"/>
  <c r="O15" i="5"/>
  <c r="O33" i="5"/>
  <c r="O63" i="5"/>
  <c r="O135" i="5"/>
  <c r="O207" i="5"/>
  <c r="O279" i="5"/>
  <c r="O12" i="5"/>
  <c r="O30" i="5"/>
  <c r="O86" i="5"/>
  <c r="O158" i="5"/>
  <c r="O230" i="5"/>
  <c r="O27" i="5"/>
  <c r="O45" i="5"/>
  <c r="O117" i="5"/>
  <c r="O189" i="5"/>
  <c r="O261" i="5"/>
  <c r="O11" i="4"/>
  <c r="O19" i="4"/>
  <c r="O31" i="4"/>
  <c r="O43" i="4"/>
  <c r="O49" i="4"/>
  <c r="O55" i="4"/>
  <c r="O79" i="4"/>
  <c r="O103" i="4"/>
  <c r="O109" i="4"/>
  <c r="O139" i="4"/>
  <c r="O163" i="4"/>
  <c r="O169" i="4"/>
  <c r="O175" i="4"/>
  <c r="O181" i="4"/>
  <c r="O187" i="4"/>
  <c r="O193" i="4"/>
  <c r="O199" i="4"/>
  <c r="O205" i="4"/>
  <c r="O211" i="4"/>
  <c r="O217" i="4"/>
  <c r="O223" i="4"/>
  <c r="O229" i="4"/>
  <c r="O235" i="4"/>
  <c r="O241" i="4"/>
  <c r="O259" i="4"/>
  <c r="O265" i="4"/>
  <c r="O295" i="4"/>
  <c r="O319" i="4"/>
  <c r="O331" i="4"/>
  <c r="O101" i="4"/>
  <c r="O113" i="4"/>
  <c r="O137" i="4"/>
  <c r="O149" i="4"/>
  <c r="O161" i="4"/>
  <c r="O173" i="4"/>
  <c r="O12" i="4"/>
  <c r="O24" i="4"/>
  <c r="O125" i="4"/>
  <c r="O52" i="4"/>
  <c r="O64" i="4"/>
  <c r="O76" i="4"/>
  <c r="O201" i="4"/>
  <c r="O225" i="4"/>
  <c r="O249" i="4"/>
  <c r="O17" i="4"/>
  <c r="O94" i="4"/>
  <c r="O100" i="4"/>
  <c r="O124" i="4"/>
  <c r="O148" i="4"/>
  <c r="O172" i="4"/>
  <c r="O41" i="4"/>
  <c r="O65" i="4"/>
  <c r="O77" i="4"/>
  <c r="O196" i="4"/>
  <c r="O220" i="4"/>
  <c r="O244" i="4"/>
  <c r="O268" i="4"/>
  <c r="O292" i="4"/>
  <c r="O316" i="4"/>
  <c r="O188" i="4"/>
  <c r="O200" i="4"/>
  <c r="O224" i="4"/>
  <c r="O236" i="4"/>
  <c r="O248" i="4"/>
  <c r="O260" i="4"/>
  <c r="O16" i="4"/>
  <c r="O105" i="4"/>
  <c r="O129" i="4"/>
  <c r="O153" i="4"/>
  <c r="O177" i="4"/>
  <c r="O30" i="4"/>
  <c r="O42" i="4"/>
  <c r="O48" i="4"/>
  <c r="O54" i="4"/>
  <c r="O60" i="4"/>
  <c r="O72" i="4"/>
  <c r="O197" i="4"/>
  <c r="O209" i="4"/>
  <c r="O221" i="4"/>
  <c r="O233" i="4"/>
  <c r="O245" i="4"/>
  <c r="O257" i="4"/>
  <c r="O269" i="4"/>
  <c r="O281" i="4"/>
  <c r="O293" i="4"/>
  <c r="O305" i="4"/>
  <c r="O317" i="4"/>
  <c r="O13" i="4"/>
  <c r="O25" i="4"/>
  <c r="O276" i="4"/>
  <c r="O288" i="4"/>
  <c r="O300" i="4"/>
  <c r="O312" i="4"/>
  <c r="O324" i="4"/>
  <c r="O212" i="4"/>
  <c r="O28" i="4"/>
  <c r="O329" i="4"/>
  <c r="O37" i="4"/>
  <c r="O61" i="4"/>
  <c r="O73" i="4"/>
  <c r="O26" i="4"/>
  <c r="O85" i="4"/>
  <c r="O277" i="4"/>
  <c r="O301" i="4"/>
  <c r="O325" i="4"/>
  <c r="O18" i="4"/>
  <c r="O84" i="4"/>
  <c r="O90" i="4"/>
  <c r="O95" i="4"/>
  <c r="O112" i="4"/>
  <c r="O146" i="4"/>
  <c r="O151" i="4"/>
  <c r="O157" i="4"/>
  <c r="O191" i="4"/>
  <c r="O208" i="4"/>
  <c r="O242" i="4"/>
  <c r="O247" i="4"/>
  <c r="O253" i="4"/>
  <c r="O298" i="4"/>
  <c r="O303" i="4"/>
  <c r="O309" i="4"/>
  <c r="O118" i="4"/>
  <c r="O142" i="4"/>
  <c r="O166" i="4"/>
  <c r="O190" i="4"/>
  <c r="O214" i="4"/>
  <c r="O238" i="4"/>
  <c r="O262" i="4"/>
  <c r="O86" i="4"/>
  <c r="O282" i="4"/>
  <c r="O306" i="4"/>
  <c r="O330" i="4"/>
  <c r="O106" i="4"/>
  <c r="O130" i="4"/>
  <c r="O154" i="4"/>
  <c r="O178" i="4"/>
  <c r="O202" i="4"/>
  <c r="O226" i="4"/>
  <c r="O250" i="4"/>
</calcChain>
</file>

<file path=xl/sharedStrings.xml><?xml version="1.0" encoding="utf-8"?>
<sst xmlns="http://schemas.openxmlformats.org/spreadsheetml/2006/main" count="96" uniqueCount="47">
  <si>
    <t>AF</t>
  </si>
  <si>
    <t>MA</t>
  </si>
  <si>
    <t>res type</t>
  </si>
  <si>
    <t>scaling</t>
  </si>
  <si>
    <t>base</t>
  </si>
  <si>
    <t>MITES</t>
  </si>
  <si>
    <t>COND</t>
  </si>
  <si>
    <t>FURN</t>
  </si>
  <si>
    <t>Forge</t>
  </si>
  <si>
    <t>Heat</t>
  </si>
  <si>
    <t>Ash</t>
  </si>
  <si>
    <t>Matter</t>
  </si>
  <si>
    <t>PRODUCTION</t>
  </si>
  <si>
    <t xml:space="preserve">1 ash per 450 heat </t>
  </si>
  <si>
    <t>200 heat to remove 1 ash</t>
  </si>
  <si>
    <t>Essence</t>
  </si>
  <si>
    <t>-200 in ash</t>
  </si>
  <si>
    <t>25hps</t>
  </si>
  <si>
    <t>3hps</t>
  </si>
  <si>
    <t xml:space="preserve">FINAL </t>
  </si>
  <si>
    <t>Base ratio</t>
  </si>
  <si>
    <t>1 ash costs 200 heat to remove</t>
  </si>
  <si>
    <t>4000 heat makes 1 matter and 2,5 ash</t>
  </si>
  <si>
    <t>RATES PER SEC</t>
  </si>
  <si>
    <t>COSTS</t>
  </si>
  <si>
    <t>500 in ash</t>
  </si>
  <si>
    <t>Heatnormalized</t>
  </si>
  <si>
    <t>1M = 4000+500 = 4500M</t>
  </si>
  <si>
    <t>4500 to 7000</t>
  </si>
  <si>
    <t>1 matter costs 4500 heat</t>
  </si>
  <si>
    <t>Name</t>
  </si>
  <si>
    <t>Base Cost</t>
  </si>
  <si>
    <t>Scaling</t>
  </si>
  <si>
    <t>Level</t>
  </si>
  <si>
    <t>Next cost</t>
  </si>
  <si>
    <t>Total cost</t>
  </si>
  <si>
    <t>Production/s</t>
  </si>
  <si>
    <t>Time to buy next</t>
  </si>
  <si>
    <t>Ash/s</t>
  </si>
  <si>
    <t>Production rate normalized</t>
  </si>
  <si>
    <t>HEAT</t>
  </si>
  <si>
    <t>ASH</t>
  </si>
  <si>
    <t>1 ash = -200heat</t>
  </si>
  <si>
    <t>ESSENCE</t>
  </si>
  <si>
    <t>Uses mol agi prod rates</t>
  </si>
  <si>
    <t>Matter/s</t>
  </si>
  <si>
    <t xml:space="preserve">4500 H in M into 7500 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</si>
</sst>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.00\ _k_r_-;\-* #,##0.00\ _k_r_-;_-* &quot;-&quot;??\ _k_r_-;_-@_-"/>
    <numFmt numFmtId="166" formatCode="_-* #,##0.00000\ _k_r_-;\-* #,##0.00000\ _k_r_-;_-* &quot;-&quot;??\ _k_r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0" borderId="3" xfId="0" applyBorder="1"/>
    <xf numFmtId="43" fontId="0" fillId="0" borderId="0" xfId="1" applyFont="1"/>
    <xf numFmtId="0" fontId="3" fillId="0" borderId="4" xfId="0" applyFont="1" applyBorder="1"/>
    <xf numFmtId="0" fontId="3" fillId="0" borderId="2" xfId="0" applyFont="1" applyBorder="1"/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3" xfId="0" applyFont="1" applyBorder="1"/>
    <xf numFmtId="0" fontId="4" fillId="0" borderId="1" xfId="0" applyFont="1" applyBorder="1"/>
    <xf numFmtId="0" fontId="2" fillId="0" borderId="0" xfId="0" applyFont="1" applyAlignment="1">
      <alignment horizontal="right"/>
    </xf>
    <xf numFmtId="166" fontId="0" fillId="0" borderId="3" xfId="0" applyNumberFormat="1" applyBorder="1"/>
    <xf numFmtId="164" fontId="0" fillId="0" borderId="3" xfId="0" applyNumberFormat="1" applyBorder="1"/>
  </cellXfs>
  <cellStyles count="2">
    <cellStyle name="Normal" xfId="0" builtinId="0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E2BE-8258-4C75-BCF1-982BDC460CC7}">
  <dimension ref="C2:K38"/>
  <sheetViews>
    <sheetView tabSelected="1" topLeftCell="A13" workbookViewId="0">
      <selection activeCell="I17" sqref="I17"/>
    </sheetView>
  </sheetViews>
  <sheetFormatPr defaultRowHeight="14.4" x14ac:dyDescent="0.3"/>
  <cols>
    <col min="2" max="2" width="4.33203125" customWidth="1"/>
    <col min="3" max="3" width="19" customWidth="1"/>
    <col min="4" max="4" width="13.77734375" customWidth="1"/>
    <col min="5" max="5" width="24.88671875" customWidth="1"/>
    <col min="6" max="6" width="22.5546875" customWidth="1"/>
    <col min="7" max="7" width="25.6640625" customWidth="1"/>
    <col min="8" max="8" width="37.88671875" customWidth="1"/>
    <col min="9" max="9" width="28.88671875" customWidth="1"/>
    <col min="10" max="10" width="25.88671875" customWidth="1"/>
    <col min="11" max="11" width="20.33203125" customWidth="1"/>
  </cols>
  <sheetData>
    <row r="2" spans="3:11" x14ac:dyDescent="0.3">
      <c r="C2" t="s">
        <v>20</v>
      </c>
      <c r="D2" t="s">
        <v>21</v>
      </c>
    </row>
    <row r="3" spans="3:11" x14ac:dyDescent="0.3">
      <c r="D3" t="s">
        <v>29</v>
      </c>
      <c r="J3" s="2"/>
    </row>
    <row r="4" spans="3:11" x14ac:dyDescent="0.3">
      <c r="J4" s="2"/>
    </row>
    <row r="5" spans="3:11" x14ac:dyDescent="0.3">
      <c r="J5" s="2"/>
    </row>
    <row r="6" spans="3:11" x14ac:dyDescent="0.3">
      <c r="E6" t="s">
        <v>0</v>
      </c>
      <c r="F6" t="s">
        <v>1</v>
      </c>
      <c r="G6" t="s">
        <v>5</v>
      </c>
      <c r="H6" t="s">
        <v>6</v>
      </c>
      <c r="I6" t="s">
        <v>7</v>
      </c>
      <c r="J6" s="2"/>
      <c r="K6" t="s">
        <v>8</v>
      </c>
    </row>
    <row r="7" spans="3:11" x14ac:dyDescent="0.3">
      <c r="J7" s="2"/>
    </row>
    <row r="8" spans="3:11" x14ac:dyDescent="0.3">
      <c r="C8" t="s">
        <v>12</v>
      </c>
      <c r="D8" t="s">
        <v>9</v>
      </c>
      <c r="E8">
        <v>3</v>
      </c>
      <c r="F8">
        <v>45</v>
      </c>
      <c r="G8">
        <v>-100</v>
      </c>
      <c r="H8">
        <v>-1000</v>
      </c>
      <c r="I8">
        <v>7500</v>
      </c>
      <c r="J8" s="2"/>
    </row>
    <row r="9" spans="3:11" x14ac:dyDescent="0.3">
      <c r="C9" t="s">
        <v>23</v>
      </c>
      <c r="D9" t="s">
        <v>10</v>
      </c>
      <c r="F9">
        <v>0.1</v>
      </c>
      <c r="G9">
        <v>-0.5</v>
      </c>
      <c r="H9">
        <v>0.625</v>
      </c>
      <c r="I9">
        <v>2.5</v>
      </c>
      <c r="J9" s="2"/>
    </row>
    <row r="10" spans="3:11" x14ac:dyDescent="0.3">
      <c r="D10" t="s">
        <v>11</v>
      </c>
      <c r="H10">
        <v>0.25</v>
      </c>
      <c r="I10">
        <v>-1</v>
      </c>
      <c r="J10" s="2"/>
    </row>
    <row r="11" spans="3:11" x14ac:dyDescent="0.3">
      <c r="D11" t="s">
        <v>15</v>
      </c>
      <c r="J11" s="2"/>
    </row>
    <row r="12" spans="3:11" x14ac:dyDescent="0.3">
      <c r="J12" s="2"/>
    </row>
    <row r="13" spans="3:11" x14ac:dyDescent="0.3">
      <c r="J13" s="2"/>
    </row>
    <row r="14" spans="3:11" x14ac:dyDescent="0.3">
      <c r="J14" s="2"/>
    </row>
    <row r="15" spans="3:11" x14ac:dyDescent="0.3">
      <c r="J15" s="2"/>
    </row>
    <row r="16" spans="3:11" x14ac:dyDescent="0.3">
      <c r="C16" s="2"/>
      <c r="D16" s="2"/>
      <c r="E16" s="2"/>
      <c r="F16" s="2"/>
      <c r="G16" s="2"/>
      <c r="H16" s="2"/>
      <c r="J16" s="2"/>
    </row>
    <row r="17" spans="3:10" x14ac:dyDescent="0.3">
      <c r="C17" s="2"/>
      <c r="D17" s="2"/>
      <c r="E17" s="2"/>
      <c r="F17" s="2"/>
      <c r="G17" s="2"/>
      <c r="H17" s="2"/>
      <c r="J17" s="2"/>
    </row>
    <row r="18" spans="3:10" x14ac:dyDescent="0.3">
      <c r="C18" s="2"/>
      <c r="D18" s="2"/>
      <c r="E18" s="2"/>
      <c r="F18" s="2"/>
      <c r="G18" s="2"/>
      <c r="H18" s="2"/>
      <c r="J18" s="2"/>
    </row>
    <row r="19" spans="3:10" x14ac:dyDescent="0.3">
      <c r="J19" s="2"/>
    </row>
    <row r="20" spans="3:10" x14ac:dyDescent="0.3">
      <c r="J20" s="2"/>
    </row>
    <row r="21" spans="3:10" x14ac:dyDescent="0.3">
      <c r="J21" s="2"/>
    </row>
    <row r="22" spans="3:10" x14ac:dyDescent="0.3">
      <c r="J22" s="2"/>
    </row>
    <row r="23" spans="3:10" x14ac:dyDescent="0.3">
      <c r="J23" s="2"/>
    </row>
    <row r="24" spans="3:10" x14ac:dyDescent="0.3">
      <c r="C24" t="s">
        <v>24</v>
      </c>
      <c r="J24" s="2"/>
    </row>
    <row r="25" spans="3:10" x14ac:dyDescent="0.3">
      <c r="J25" s="2"/>
    </row>
    <row r="26" spans="3:10" x14ac:dyDescent="0.3">
      <c r="C26" t="s">
        <v>2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11</v>
      </c>
      <c r="J26" s="15"/>
    </row>
    <row r="27" spans="3:10" x14ac:dyDescent="0.3">
      <c r="J27" s="2"/>
    </row>
    <row r="28" spans="3:10" x14ac:dyDescent="0.3">
      <c r="C28" t="s">
        <v>4</v>
      </c>
      <c r="E28">
        <v>15</v>
      </c>
      <c r="F28">
        <v>250</v>
      </c>
      <c r="G28">
        <v>1000</v>
      </c>
      <c r="H28">
        <v>5000</v>
      </c>
      <c r="I28">
        <v>6</v>
      </c>
      <c r="J28" s="2"/>
    </row>
    <row r="29" spans="3:10" x14ac:dyDescent="0.3">
      <c r="C29" t="s">
        <v>26</v>
      </c>
      <c r="E29">
        <v>15</v>
      </c>
      <c r="F29">
        <v>250</v>
      </c>
      <c r="G29">
        <v>1000</v>
      </c>
      <c r="H29">
        <v>5000</v>
      </c>
      <c r="I29">
        <v>21000</v>
      </c>
      <c r="J29" s="2"/>
    </row>
    <row r="30" spans="3:10" x14ac:dyDescent="0.3">
      <c r="C30" t="s">
        <v>3</v>
      </c>
      <c r="E30">
        <v>1.22</v>
      </c>
      <c r="F30">
        <v>1.22</v>
      </c>
      <c r="G30">
        <v>1.22</v>
      </c>
      <c r="H30">
        <v>1.22</v>
      </c>
      <c r="I30">
        <v>1.22</v>
      </c>
      <c r="J30" s="2"/>
    </row>
    <row r="31" spans="3:10" x14ac:dyDescent="0.3">
      <c r="J31" s="2"/>
    </row>
    <row r="32" spans="3:10" x14ac:dyDescent="0.3">
      <c r="J32" s="2"/>
    </row>
    <row r="33" spans="3:10" x14ac:dyDescent="0.3">
      <c r="F33" t="s">
        <v>13</v>
      </c>
      <c r="G33" t="s">
        <v>14</v>
      </c>
      <c r="H33" t="s">
        <v>22</v>
      </c>
      <c r="I33" t="s">
        <v>46</v>
      </c>
      <c r="J33" s="2"/>
    </row>
    <row r="34" spans="3:10" x14ac:dyDescent="0.3">
      <c r="F34" s="3" t="s">
        <v>16</v>
      </c>
      <c r="H34" t="s">
        <v>25</v>
      </c>
      <c r="I34" t="s">
        <v>25</v>
      </c>
      <c r="J34" s="2"/>
    </row>
    <row r="35" spans="3:10" x14ac:dyDescent="0.3">
      <c r="C35" t="s">
        <v>19</v>
      </c>
      <c r="E35" t="s">
        <v>18</v>
      </c>
      <c r="F35" t="s">
        <v>17</v>
      </c>
      <c r="H35" t="s">
        <v>27</v>
      </c>
      <c r="I35" t="s">
        <v>28</v>
      </c>
      <c r="J35" s="2"/>
    </row>
    <row r="36" spans="3:10" x14ac:dyDescent="0.3">
      <c r="J36" s="2"/>
    </row>
    <row r="37" spans="3:10" x14ac:dyDescent="0.3">
      <c r="J37" s="2"/>
    </row>
    <row r="38" spans="3:10" x14ac:dyDescent="0.3">
      <c r="J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53DA-A171-445E-9CB3-FC1E7D9BBDAE}">
  <dimension ref="H2:O331"/>
  <sheetViews>
    <sheetView topLeftCell="C16" workbookViewId="0">
      <selection activeCell="I3" sqref="I3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19.21875" customWidth="1"/>
    <col min="15" max="15" width="24.33203125" customWidth="1"/>
  </cols>
  <sheetData>
    <row r="2" spans="8:15" x14ac:dyDescent="0.3">
      <c r="H2" s="4"/>
    </row>
    <row r="3" spans="8:15" x14ac:dyDescent="0.3">
      <c r="H3" s="4"/>
    </row>
    <row r="4" spans="8:15" x14ac:dyDescent="0.3">
      <c r="H4" s="4"/>
    </row>
    <row r="5" spans="8:15" x14ac:dyDescent="0.3">
      <c r="H5" s="4" t="s">
        <v>30</v>
      </c>
    </row>
    <row r="6" spans="8:15" x14ac:dyDescent="0.3">
      <c r="H6" s="4" t="s">
        <v>31</v>
      </c>
      <c r="I6">
        <v>15</v>
      </c>
    </row>
    <row r="7" spans="8:15" x14ac:dyDescent="0.3">
      <c r="H7" s="4" t="s">
        <v>32</v>
      </c>
      <c r="I7">
        <v>1.22</v>
      </c>
    </row>
    <row r="8" spans="8:15" x14ac:dyDescent="0.3">
      <c r="H8" s="4" t="s">
        <v>39</v>
      </c>
      <c r="I8">
        <v>3</v>
      </c>
    </row>
    <row r="9" spans="8:15" x14ac:dyDescent="0.3">
      <c r="H9" s="4"/>
    </row>
    <row r="10" spans="8:15" x14ac:dyDescent="0.3">
      <c r="H10" s="4"/>
      <c r="K10" t="s">
        <v>33</v>
      </c>
      <c r="L10" t="s">
        <v>34</v>
      </c>
      <c r="M10" t="s">
        <v>35</v>
      </c>
      <c r="N10" t="s">
        <v>36</v>
      </c>
      <c r="O10" t="s">
        <v>37</v>
      </c>
    </row>
    <row r="11" spans="8:15" x14ac:dyDescent="0.3">
      <c r="H11" s="4"/>
      <c r="K11">
        <v>0</v>
      </c>
      <c r="L11" s="6">
        <f>$I$6*($I$7^K11)</f>
        <v>15</v>
      </c>
      <c r="N11">
        <f>K11*$I$8</f>
        <v>0</v>
      </c>
      <c r="O11" t="e">
        <f>L11/N11</f>
        <v>#DIV/0!</v>
      </c>
    </row>
    <row r="12" spans="8:15" x14ac:dyDescent="0.3">
      <c r="H12" s="4"/>
      <c r="K12">
        <v>1</v>
      </c>
      <c r="L12" s="6">
        <f t="shared" ref="L12:L75" si="0">$I$6*($I$7^K12)</f>
        <v>18.3</v>
      </c>
      <c r="N12">
        <f t="shared" ref="N12:N75" si="1">K12*$I$8</f>
        <v>3</v>
      </c>
      <c r="O12">
        <f t="shared" ref="O12:O74" si="2">L12/N12</f>
        <v>6.1000000000000005</v>
      </c>
    </row>
    <row r="13" spans="8:15" x14ac:dyDescent="0.3">
      <c r="H13" s="4"/>
      <c r="K13">
        <v>2</v>
      </c>
      <c r="L13" s="6">
        <f t="shared" si="0"/>
        <v>22.326000000000001</v>
      </c>
      <c r="N13">
        <f t="shared" si="1"/>
        <v>6</v>
      </c>
      <c r="O13">
        <f t="shared" si="2"/>
        <v>3.7210000000000001</v>
      </c>
    </row>
    <row r="14" spans="8:15" x14ac:dyDescent="0.3">
      <c r="H14" s="4"/>
      <c r="K14">
        <v>3</v>
      </c>
      <c r="L14" s="6">
        <f t="shared" si="0"/>
        <v>27.237719999999999</v>
      </c>
      <c r="N14">
        <f t="shared" si="1"/>
        <v>9</v>
      </c>
      <c r="O14">
        <f t="shared" si="2"/>
        <v>3.0264133333333332</v>
      </c>
    </row>
    <row r="15" spans="8:15" x14ac:dyDescent="0.3">
      <c r="H15" s="4"/>
      <c r="K15">
        <v>4</v>
      </c>
      <c r="L15" s="6">
        <f t="shared" si="0"/>
        <v>33.230018399999992</v>
      </c>
      <c r="N15">
        <f t="shared" si="1"/>
        <v>12</v>
      </c>
      <c r="O15">
        <f t="shared" si="2"/>
        <v>2.7691681999999993</v>
      </c>
    </row>
    <row r="16" spans="8:15" x14ac:dyDescent="0.3">
      <c r="H16" s="4"/>
      <c r="K16">
        <v>5</v>
      </c>
      <c r="L16" s="6">
        <f t="shared" si="0"/>
        <v>40.540622447999993</v>
      </c>
      <c r="N16">
        <f t="shared" si="1"/>
        <v>15</v>
      </c>
      <c r="O16">
        <f t="shared" si="2"/>
        <v>2.7027081631999996</v>
      </c>
    </row>
    <row r="17" spans="8:15" x14ac:dyDescent="0.3">
      <c r="H17" s="4"/>
      <c r="K17">
        <v>6</v>
      </c>
      <c r="L17" s="6">
        <f t="shared" si="0"/>
        <v>49.459559386559988</v>
      </c>
      <c r="N17">
        <f t="shared" si="1"/>
        <v>18</v>
      </c>
      <c r="O17">
        <f t="shared" si="2"/>
        <v>2.7477532992533327</v>
      </c>
    </row>
    <row r="18" spans="8:15" x14ac:dyDescent="0.3">
      <c r="H18" s="4"/>
      <c r="K18">
        <v>7</v>
      </c>
      <c r="L18" s="6">
        <f t="shared" si="0"/>
        <v>60.340662451603187</v>
      </c>
      <c r="N18">
        <f t="shared" si="1"/>
        <v>21</v>
      </c>
      <c r="O18">
        <f t="shared" si="2"/>
        <v>2.873364878647771</v>
      </c>
    </row>
    <row r="19" spans="8:15" x14ac:dyDescent="0.3">
      <c r="H19" s="4"/>
      <c r="K19">
        <v>8</v>
      </c>
      <c r="L19" s="6">
        <f t="shared" si="0"/>
        <v>73.615608190955882</v>
      </c>
      <c r="N19">
        <f t="shared" si="1"/>
        <v>24</v>
      </c>
      <c r="O19">
        <f t="shared" si="2"/>
        <v>3.0673170079564951</v>
      </c>
    </row>
    <row r="20" spans="8:15" x14ac:dyDescent="0.3">
      <c r="H20" s="4"/>
      <c r="K20">
        <v>9</v>
      </c>
      <c r="L20" s="6">
        <f t="shared" si="0"/>
        <v>89.811041992966167</v>
      </c>
      <c r="N20">
        <f t="shared" si="1"/>
        <v>27</v>
      </c>
      <c r="O20">
        <f t="shared" si="2"/>
        <v>3.3263348886283768</v>
      </c>
    </row>
    <row r="21" spans="8:15" x14ac:dyDescent="0.3">
      <c r="H21" s="4"/>
      <c r="K21">
        <v>10</v>
      </c>
      <c r="L21" s="6">
        <f t="shared" si="0"/>
        <v>109.56947123141872</v>
      </c>
      <c r="N21">
        <f t="shared" si="1"/>
        <v>30</v>
      </c>
      <c r="O21">
        <f t="shared" si="2"/>
        <v>3.6523157077139574</v>
      </c>
    </row>
    <row r="22" spans="8:15" x14ac:dyDescent="0.3">
      <c r="H22" s="4"/>
      <c r="K22">
        <v>11</v>
      </c>
      <c r="L22" s="6">
        <f t="shared" si="0"/>
        <v>133.67475490233085</v>
      </c>
      <c r="N22">
        <f t="shared" si="1"/>
        <v>33</v>
      </c>
      <c r="O22">
        <f>L22/N22</f>
        <v>4.0507501485554798</v>
      </c>
    </row>
    <row r="23" spans="8:15" x14ac:dyDescent="0.3">
      <c r="H23" s="4"/>
      <c r="K23">
        <v>12</v>
      </c>
      <c r="L23" s="6">
        <f t="shared" si="0"/>
        <v>163.0832009808436</v>
      </c>
      <c r="N23">
        <f t="shared" si="1"/>
        <v>36</v>
      </c>
      <c r="O23">
        <f t="shared" si="2"/>
        <v>4.5300889161345443</v>
      </c>
    </row>
    <row r="24" spans="8:15" x14ac:dyDescent="0.3">
      <c r="H24" s="4"/>
      <c r="K24">
        <v>13</v>
      </c>
      <c r="L24" s="6">
        <f t="shared" si="0"/>
        <v>198.96150519662919</v>
      </c>
      <c r="N24">
        <f t="shared" si="1"/>
        <v>39</v>
      </c>
      <c r="O24">
        <f t="shared" si="2"/>
        <v>5.1015770563238254</v>
      </c>
    </row>
    <row r="25" spans="8:15" x14ac:dyDescent="0.3">
      <c r="H25" s="4"/>
      <c r="K25">
        <v>14</v>
      </c>
      <c r="L25" s="6">
        <f t="shared" si="0"/>
        <v>242.7330363398876</v>
      </c>
      <c r="N25">
        <f t="shared" si="1"/>
        <v>42</v>
      </c>
      <c r="O25">
        <f t="shared" si="2"/>
        <v>5.7793580080925624</v>
      </c>
    </row>
    <row r="26" spans="8:15" x14ac:dyDescent="0.3">
      <c r="H26" s="4"/>
      <c r="K26">
        <v>15</v>
      </c>
      <c r="L26" s="6">
        <f t="shared" si="0"/>
        <v>296.13430433466289</v>
      </c>
      <c r="N26">
        <f t="shared" si="1"/>
        <v>45</v>
      </c>
      <c r="O26">
        <f t="shared" si="2"/>
        <v>6.5807623185480644</v>
      </c>
    </row>
    <row r="27" spans="8:15" x14ac:dyDescent="0.3">
      <c r="H27" s="4"/>
      <c r="K27">
        <v>16</v>
      </c>
      <c r="L27" s="6">
        <f t="shared" si="0"/>
        <v>361.2838512882887</v>
      </c>
      <c r="N27">
        <f t="shared" si="1"/>
        <v>48</v>
      </c>
      <c r="O27">
        <f t="shared" si="2"/>
        <v>7.5267469018393482</v>
      </c>
    </row>
    <row r="28" spans="8:15" x14ac:dyDescent="0.3">
      <c r="H28" s="4"/>
      <c r="K28">
        <v>17</v>
      </c>
      <c r="L28" s="6">
        <f t="shared" si="0"/>
        <v>440.76629857171213</v>
      </c>
      <c r="N28">
        <f t="shared" si="1"/>
        <v>51</v>
      </c>
      <c r="O28">
        <f t="shared" si="2"/>
        <v>8.6424764425825913</v>
      </c>
    </row>
    <row r="29" spans="8:15" x14ac:dyDescent="0.3">
      <c r="H29" s="4"/>
      <c r="K29">
        <v>18</v>
      </c>
      <c r="L29" s="6">
        <f t="shared" si="0"/>
        <v>537.73488425748883</v>
      </c>
      <c r="N29">
        <f t="shared" si="1"/>
        <v>54</v>
      </c>
      <c r="O29">
        <f t="shared" si="2"/>
        <v>9.9580534121757189</v>
      </c>
    </row>
    <row r="30" spans="8:15" x14ac:dyDescent="0.3">
      <c r="H30" s="4"/>
      <c r="K30">
        <v>19</v>
      </c>
      <c r="L30" s="6">
        <f t="shared" si="0"/>
        <v>656.03655879413634</v>
      </c>
      <c r="N30">
        <f t="shared" si="1"/>
        <v>57</v>
      </c>
      <c r="O30">
        <f t="shared" si="2"/>
        <v>11.509413312177831</v>
      </c>
    </row>
    <row r="31" spans="8:15" x14ac:dyDescent="0.3">
      <c r="H31" s="4"/>
      <c r="K31">
        <v>20</v>
      </c>
      <c r="L31" s="6">
        <f t="shared" si="0"/>
        <v>800.3646017288462</v>
      </c>
      <c r="N31">
        <f t="shared" si="1"/>
        <v>60</v>
      </c>
      <c r="O31">
        <f>L31/N31</f>
        <v>13.339410028814104</v>
      </c>
    </row>
    <row r="32" spans="8:15" x14ac:dyDescent="0.3">
      <c r="H32" s="4"/>
      <c r="K32">
        <v>21</v>
      </c>
      <c r="L32" s="6">
        <f t="shared" si="0"/>
        <v>976.44481410919241</v>
      </c>
      <c r="N32">
        <f t="shared" si="1"/>
        <v>63</v>
      </c>
      <c r="O32">
        <f t="shared" si="2"/>
        <v>15.499124033479244</v>
      </c>
    </row>
    <row r="33" spans="8:15" x14ac:dyDescent="0.3">
      <c r="H33" s="4"/>
      <c r="K33">
        <v>22</v>
      </c>
      <c r="L33" s="6">
        <f t="shared" si="0"/>
        <v>1191.2626732132146</v>
      </c>
      <c r="N33">
        <f t="shared" si="1"/>
        <v>66</v>
      </c>
      <c r="O33">
        <f t="shared" si="2"/>
        <v>18.049434442624463</v>
      </c>
    </row>
    <row r="34" spans="8:15" x14ac:dyDescent="0.3">
      <c r="H34" s="4"/>
      <c r="K34">
        <v>23</v>
      </c>
      <c r="L34" s="6">
        <f t="shared" si="0"/>
        <v>1453.3404613201221</v>
      </c>
      <c r="N34">
        <f t="shared" si="1"/>
        <v>69</v>
      </c>
      <c r="O34">
        <f t="shared" si="2"/>
        <v>21.062905236523509</v>
      </c>
    </row>
    <row r="35" spans="8:15" x14ac:dyDescent="0.3">
      <c r="K35">
        <v>24</v>
      </c>
      <c r="L35" s="6">
        <f t="shared" si="0"/>
        <v>1773.0753628105485</v>
      </c>
      <c r="N35">
        <f t="shared" si="1"/>
        <v>72</v>
      </c>
      <c r="O35">
        <f t="shared" si="2"/>
        <v>24.626046705702063</v>
      </c>
    </row>
    <row r="36" spans="8:15" x14ac:dyDescent="0.3">
      <c r="K36">
        <v>25</v>
      </c>
      <c r="L36" s="6">
        <f t="shared" si="0"/>
        <v>2163.1519426288692</v>
      </c>
      <c r="N36">
        <f t="shared" si="1"/>
        <v>75</v>
      </c>
      <c r="O36">
        <f t="shared" si="2"/>
        <v>28.842025901718255</v>
      </c>
    </row>
    <row r="37" spans="8:15" x14ac:dyDescent="0.3">
      <c r="K37">
        <v>26</v>
      </c>
      <c r="L37" s="6">
        <f t="shared" si="0"/>
        <v>2639.0453700072203</v>
      </c>
      <c r="N37">
        <f t="shared" si="1"/>
        <v>78</v>
      </c>
      <c r="O37">
        <f t="shared" si="2"/>
        <v>33.833915000092567</v>
      </c>
    </row>
    <row r="38" spans="8:15" x14ac:dyDescent="0.3">
      <c r="K38">
        <v>27</v>
      </c>
      <c r="L38" s="6">
        <f t="shared" si="0"/>
        <v>3219.6353514088087</v>
      </c>
      <c r="N38">
        <f t="shared" si="1"/>
        <v>81</v>
      </c>
      <c r="O38">
        <f t="shared" si="2"/>
        <v>39.748584585293933</v>
      </c>
    </row>
    <row r="39" spans="8:15" x14ac:dyDescent="0.3">
      <c r="K39">
        <v>28</v>
      </c>
      <c r="L39" s="6">
        <f t="shared" si="0"/>
        <v>3927.9551287187464</v>
      </c>
      <c r="N39">
        <f t="shared" si="1"/>
        <v>84</v>
      </c>
      <c r="O39">
        <f t="shared" si="2"/>
        <v>46.761370579985076</v>
      </c>
    </row>
    <row r="40" spans="8:15" x14ac:dyDescent="0.3">
      <c r="K40">
        <v>29</v>
      </c>
      <c r="L40" s="6">
        <f t="shared" si="0"/>
        <v>4792.1052570368702</v>
      </c>
      <c r="N40">
        <f t="shared" si="1"/>
        <v>87</v>
      </c>
      <c r="O40">
        <f t="shared" si="2"/>
        <v>55.081669621113448</v>
      </c>
    </row>
    <row r="41" spans="8:15" x14ac:dyDescent="0.3">
      <c r="K41">
        <v>30</v>
      </c>
      <c r="L41" s="6">
        <f t="shared" si="0"/>
        <v>5846.3684135849808</v>
      </c>
      <c r="N41">
        <f t="shared" si="1"/>
        <v>90</v>
      </c>
      <c r="O41">
        <f t="shared" si="2"/>
        <v>64.959649039833124</v>
      </c>
    </row>
    <row r="42" spans="8:15" x14ac:dyDescent="0.3">
      <c r="K42">
        <v>31</v>
      </c>
      <c r="L42" s="6">
        <f t="shared" si="0"/>
        <v>7132.5694645736785</v>
      </c>
      <c r="N42">
        <f t="shared" si="1"/>
        <v>93</v>
      </c>
      <c r="O42">
        <f>L42/N42</f>
        <v>76.694295317996549</v>
      </c>
    </row>
    <row r="43" spans="8:15" x14ac:dyDescent="0.3">
      <c r="K43">
        <v>32</v>
      </c>
      <c r="L43" s="6">
        <f t="shared" si="0"/>
        <v>8701.7347467798845</v>
      </c>
      <c r="N43">
        <f t="shared" si="1"/>
        <v>96</v>
      </c>
      <c r="O43">
        <f t="shared" si="2"/>
        <v>90.643070278957126</v>
      </c>
    </row>
    <row r="44" spans="8:15" x14ac:dyDescent="0.3">
      <c r="K44">
        <v>33</v>
      </c>
      <c r="L44" s="6">
        <f t="shared" si="0"/>
        <v>10616.11639107146</v>
      </c>
      <c r="N44">
        <f t="shared" si="1"/>
        <v>99</v>
      </c>
      <c r="O44">
        <f t="shared" si="2"/>
        <v>107.23349889971172</v>
      </c>
    </row>
    <row r="45" spans="8:15" x14ac:dyDescent="0.3">
      <c r="K45">
        <v>34</v>
      </c>
      <c r="L45" s="6">
        <f t="shared" si="0"/>
        <v>12951.661997107181</v>
      </c>
      <c r="N45">
        <f t="shared" si="1"/>
        <v>102</v>
      </c>
      <c r="O45">
        <f t="shared" si="2"/>
        <v>126.97707840301159</v>
      </c>
    </row>
    <row r="46" spans="8:15" x14ac:dyDescent="0.3">
      <c r="K46">
        <v>35</v>
      </c>
      <c r="L46" s="6">
        <f t="shared" si="0"/>
        <v>15801.027636470761</v>
      </c>
      <c r="N46">
        <f t="shared" si="1"/>
        <v>105</v>
      </c>
      <c r="O46">
        <f t="shared" si="2"/>
        <v>150.48597749019771</v>
      </c>
    </row>
    <row r="47" spans="8:15" x14ac:dyDescent="0.3">
      <c r="K47">
        <v>36</v>
      </c>
      <c r="L47" s="6">
        <f t="shared" si="0"/>
        <v>19277.253716494328</v>
      </c>
      <c r="N47">
        <f t="shared" si="1"/>
        <v>108</v>
      </c>
      <c r="O47">
        <f t="shared" si="2"/>
        <v>178.49308996754007</v>
      </c>
    </row>
    <row r="48" spans="8:15" x14ac:dyDescent="0.3">
      <c r="K48">
        <v>37</v>
      </c>
      <c r="L48" s="6">
        <f t="shared" si="0"/>
        <v>23518.249534123075</v>
      </c>
      <c r="N48">
        <f t="shared" si="1"/>
        <v>111</v>
      </c>
      <c r="O48">
        <f t="shared" si="2"/>
        <v>211.87612192903671</v>
      </c>
    </row>
    <row r="49" spans="11:15" x14ac:dyDescent="0.3">
      <c r="K49">
        <v>38</v>
      </c>
      <c r="L49" s="6">
        <f t="shared" si="0"/>
        <v>28692.264431630148</v>
      </c>
      <c r="N49">
        <f t="shared" si="1"/>
        <v>114</v>
      </c>
      <c r="O49">
        <f>L49/N49</f>
        <v>251.68653010201885</v>
      </c>
    </row>
    <row r="50" spans="11:15" x14ac:dyDescent="0.3">
      <c r="K50">
        <v>39</v>
      </c>
      <c r="L50" s="6">
        <f t="shared" si="0"/>
        <v>35004.562606588792</v>
      </c>
      <c r="N50">
        <f t="shared" si="1"/>
        <v>117</v>
      </c>
      <c r="O50">
        <f t="shared" si="2"/>
        <v>299.18429578281018</v>
      </c>
    </row>
    <row r="51" spans="11:15" x14ac:dyDescent="0.3">
      <c r="K51">
        <v>40</v>
      </c>
      <c r="L51" s="6">
        <f t="shared" si="0"/>
        <v>42705.566380038312</v>
      </c>
      <c r="N51">
        <f t="shared" si="1"/>
        <v>120</v>
      </c>
      <c r="O51">
        <f t="shared" si="2"/>
        <v>355.87971983365259</v>
      </c>
    </row>
    <row r="52" spans="11:15" x14ac:dyDescent="0.3">
      <c r="K52">
        <v>41</v>
      </c>
      <c r="L52" s="6">
        <f t="shared" si="0"/>
        <v>52100.790983646737</v>
      </c>
      <c r="N52">
        <f t="shared" si="1"/>
        <v>123</v>
      </c>
      <c r="O52">
        <f t="shared" si="2"/>
        <v>423.58366653371331</v>
      </c>
    </row>
    <row r="53" spans="11:15" x14ac:dyDescent="0.3">
      <c r="K53">
        <v>42</v>
      </c>
      <c r="L53" s="6">
        <f t="shared" si="0"/>
        <v>63562.965000049015</v>
      </c>
      <c r="N53">
        <f t="shared" si="1"/>
        <v>126</v>
      </c>
      <c r="O53">
        <f t="shared" si="2"/>
        <v>504.46797619086522</v>
      </c>
    </row>
    <row r="54" spans="11:15" x14ac:dyDescent="0.3">
      <c r="K54">
        <v>43</v>
      </c>
      <c r="L54" s="6">
        <f t="shared" si="0"/>
        <v>77546.817300059804</v>
      </c>
      <c r="N54">
        <f t="shared" si="1"/>
        <v>129</v>
      </c>
      <c r="O54">
        <f t="shared" si="2"/>
        <v>601.13811860511476</v>
      </c>
    </row>
    <row r="55" spans="11:15" x14ac:dyDescent="0.3">
      <c r="K55">
        <v>44</v>
      </c>
      <c r="L55" s="6">
        <f t="shared" si="0"/>
        <v>94607.117106072954</v>
      </c>
      <c r="N55">
        <f t="shared" si="1"/>
        <v>132</v>
      </c>
      <c r="O55">
        <f t="shared" si="2"/>
        <v>716.72058413691627</v>
      </c>
    </row>
    <row r="56" spans="11:15" x14ac:dyDescent="0.3">
      <c r="K56">
        <v>45</v>
      </c>
      <c r="L56" s="6">
        <f t="shared" si="0"/>
        <v>115420.68286940899</v>
      </c>
      <c r="N56">
        <f t="shared" si="1"/>
        <v>135</v>
      </c>
      <c r="O56">
        <f t="shared" si="2"/>
        <v>854.96802125488148</v>
      </c>
    </row>
    <row r="57" spans="11:15" x14ac:dyDescent="0.3">
      <c r="K57">
        <v>46</v>
      </c>
      <c r="L57" s="6">
        <f t="shared" si="0"/>
        <v>140813.23310067895</v>
      </c>
      <c r="N57">
        <f t="shared" si="1"/>
        <v>138</v>
      </c>
      <c r="O57">
        <f t="shared" si="2"/>
        <v>1020.3857471063692</v>
      </c>
    </row>
    <row r="58" spans="11:15" x14ac:dyDescent="0.3">
      <c r="K58">
        <v>47</v>
      </c>
      <c r="L58" s="6">
        <f t="shared" si="0"/>
        <v>171792.14438282835</v>
      </c>
      <c r="N58">
        <f t="shared" si="1"/>
        <v>141</v>
      </c>
      <c r="O58">
        <f t="shared" si="2"/>
        <v>1218.3840027150948</v>
      </c>
    </row>
    <row r="59" spans="11:15" x14ac:dyDescent="0.3">
      <c r="K59">
        <v>48</v>
      </c>
      <c r="L59" s="6">
        <f t="shared" si="0"/>
        <v>209586.41614705054</v>
      </c>
      <c r="N59">
        <f t="shared" si="1"/>
        <v>144</v>
      </c>
      <c r="O59">
        <f t="shared" si="2"/>
        <v>1455.4612232434065</v>
      </c>
    </row>
    <row r="60" spans="11:15" x14ac:dyDescent="0.3">
      <c r="K60">
        <v>49</v>
      </c>
      <c r="L60" s="6">
        <f t="shared" si="0"/>
        <v>255695.42769940165</v>
      </c>
      <c r="N60">
        <f t="shared" si="1"/>
        <v>147</v>
      </c>
      <c r="O60">
        <f>L60/N60</f>
        <v>1739.4246782272221</v>
      </c>
    </row>
    <row r="61" spans="11:15" x14ac:dyDescent="0.3">
      <c r="K61">
        <v>50</v>
      </c>
      <c r="L61" s="6">
        <f t="shared" si="0"/>
        <v>311948.42179326998</v>
      </c>
      <c r="N61">
        <f t="shared" si="1"/>
        <v>150</v>
      </c>
      <c r="O61">
        <f t="shared" si="2"/>
        <v>2079.6561452884666</v>
      </c>
    </row>
    <row r="62" spans="11:15" x14ac:dyDescent="0.3">
      <c r="K62">
        <v>51</v>
      </c>
      <c r="L62" s="6">
        <f t="shared" si="0"/>
        <v>380577.07458778942</v>
      </c>
      <c r="N62">
        <f t="shared" si="1"/>
        <v>153</v>
      </c>
      <c r="O62">
        <f t="shared" si="2"/>
        <v>2487.4318600509114</v>
      </c>
    </row>
    <row r="63" spans="11:15" x14ac:dyDescent="0.3">
      <c r="K63">
        <v>52</v>
      </c>
      <c r="L63" s="6">
        <f t="shared" si="0"/>
        <v>464304.03099710302</v>
      </c>
      <c r="N63">
        <f t="shared" si="1"/>
        <v>156</v>
      </c>
      <c r="O63">
        <f t="shared" si="2"/>
        <v>2976.3078910070708</v>
      </c>
    </row>
    <row r="64" spans="11:15" x14ac:dyDescent="0.3">
      <c r="K64">
        <v>53</v>
      </c>
      <c r="L64" s="6">
        <f t="shared" si="0"/>
        <v>566450.91781646572</v>
      </c>
      <c r="N64">
        <f t="shared" si="1"/>
        <v>159</v>
      </c>
      <c r="O64">
        <f>L64/N64</f>
        <v>3562.5843887828032</v>
      </c>
    </row>
    <row r="65" spans="11:15" x14ac:dyDescent="0.3">
      <c r="K65">
        <v>54</v>
      </c>
      <c r="L65" s="6">
        <f t="shared" si="0"/>
        <v>691070.11973608809</v>
      </c>
      <c r="N65">
        <f t="shared" si="1"/>
        <v>162</v>
      </c>
      <c r="O65">
        <f t="shared" si="2"/>
        <v>4265.8649366425188</v>
      </c>
    </row>
    <row r="66" spans="11:15" x14ac:dyDescent="0.3">
      <c r="K66">
        <v>55</v>
      </c>
      <c r="L66" s="6">
        <f t="shared" si="0"/>
        <v>843105.54607802758</v>
      </c>
      <c r="N66">
        <f t="shared" si="1"/>
        <v>165</v>
      </c>
      <c r="O66">
        <f t="shared" si="2"/>
        <v>5109.7305822910766</v>
      </c>
    </row>
    <row r="67" spans="11:15" x14ac:dyDescent="0.3">
      <c r="K67">
        <v>56</v>
      </c>
      <c r="L67" s="6">
        <f t="shared" si="0"/>
        <v>1028588.7662151934</v>
      </c>
      <c r="N67">
        <f t="shared" si="1"/>
        <v>168</v>
      </c>
      <c r="O67">
        <f t="shared" si="2"/>
        <v>6122.5521798523423</v>
      </c>
    </row>
    <row r="68" spans="11:15" x14ac:dyDescent="0.3">
      <c r="K68">
        <v>57</v>
      </c>
      <c r="L68" s="6">
        <f t="shared" si="0"/>
        <v>1254878.2947825359</v>
      </c>
      <c r="N68">
        <f t="shared" si="1"/>
        <v>171</v>
      </c>
      <c r="O68">
        <f t="shared" si="2"/>
        <v>7338.469560131789</v>
      </c>
    </row>
    <row r="69" spans="11:15" x14ac:dyDescent="0.3">
      <c r="K69">
        <v>58</v>
      </c>
      <c r="L69" s="6">
        <f t="shared" si="0"/>
        <v>1530951.5196346939</v>
      </c>
      <c r="N69">
        <f t="shared" si="1"/>
        <v>174</v>
      </c>
      <c r="O69">
        <f t="shared" si="2"/>
        <v>8798.5719519235281</v>
      </c>
    </row>
    <row r="70" spans="11:15" x14ac:dyDescent="0.3">
      <c r="K70">
        <v>59</v>
      </c>
      <c r="L70" s="6">
        <f t="shared" si="0"/>
        <v>1867760.8539543264</v>
      </c>
      <c r="N70">
        <f t="shared" si="1"/>
        <v>177</v>
      </c>
      <c r="O70">
        <f t="shared" si="2"/>
        <v>10552.321208781505</v>
      </c>
    </row>
    <row r="71" spans="11:15" x14ac:dyDescent="0.3">
      <c r="K71">
        <v>60</v>
      </c>
      <c r="L71" s="6">
        <f t="shared" si="0"/>
        <v>2278668.2418242781</v>
      </c>
      <c r="N71">
        <f t="shared" si="1"/>
        <v>180</v>
      </c>
      <c r="O71">
        <f t="shared" si="2"/>
        <v>12659.268010134878</v>
      </c>
    </row>
    <row r="72" spans="11:15" x14ac:dyDescent="0.3">
      <c r="K72">
        <v>61</v>
      </c>
      <c r="L72" s="6">
        <f t="shared" si="0"/>
        <v>2779975.2550256192</v>
      </c>
      <c r="N72">
        <f t="shared" si="1"/>
        <v>183</v>
      </c>
      <c r="O72">
        <f t="shared" si="2"/>
        <v>15191.121612161853</v>
      </c>
    </row>
    <row r="73" spans="11:15" x14ac:dyDescent="0.3">
      <c r="K73">
        <v>62</v>
      </c>
      <c r="L73" s="6">
        <f t="shared" si="0"/>
        <v>3391569.8111312548</v>
      </c>
      <c r="N73">
        <f t="shared" si="1"/>
        <v>186</v>
      </c>
      <c r="O73">
        <f t="shared" si="2"/>
        <v>18234.246296404595</v>
      </c>
    </row>
    <row r="74" spans="11:15" x14ac:dyDescent="0.3">
      <c r="K74">
        <v>63</v>
      </c>
      <c r="L74" s="6">
        <f t="shared" si="0"/>
        <v>4137715.1695801313</v>
      </c>
      <c r="N74">
        <f t="shared" si="1"/>
        <v>189</v>
      </c>
      <c r="O74">
        <f t="shared" si="2"/>
        <v>21892.672854921329</v>
      </c>
    </row>
    <row r="75" spans="11:15" x14ac:dyDescent="0.3">
      <c r="K75">
        <v>64</v>
      </c>
      <c r="L75" s="6">
        <f t="shared" si="0"/>
        <v>5048012.5068877591</v>
      </c>
      <c r="N75">
        <f t="shared" si="1"/>
        <v>192</v>
      </c>
      <c r="O75">
        <f>L75/N75</f>
        <v>26291.731806707077</v>
      </c>
    </row>
    <row r="76" spans="11:15" x14ac:dyDescent="0.3">
      <c r="K76">
        <v>65</v>
      </c>
      <c r="L76" s="6">
        <f t="shared" ref="L76:L139" si="3">$I$6*($I$7^K76)</f>
        <v>6158575.2584030656</v>
      </c>
      <c r="N76">
        <f t="shared" ref="N76:N139" si="4">K76*$I$8</f>
        <v>195</v>
      </c>
      <c r="O76">
        <f t="shared" ref="O76:O77" si="5">L76/N76</f>
        <v>31582.437222579825</v>
      </c>
    </row>
    <row r="77" spans="11:15" x14ac:dyDescent="0.3">
      <c r="K77">
        <v>66</v>
      </c>
      <c r="L77" s="6">
        <f t="shared" si="3"/>
        <v>7513461.8152517416</v>
      </c>
      <c r="N77">
        <f t="shared" si="4"/>
        <v>198</v>
      </c>
      <c r="O77">
        <f t="shared" si="5"/>
        <v>37946.776844705768</v>
      </c>
    </row>
    <row r="78" spans="11:15" x14ac:dyDescent="0.3">
      <c r="K78">
        <v>67</v>
      </c>
      <c r="L78" s="6">
        <f t="shared" si="3"/>
        <v>9166423.4146071225</v>
      </c>
      <c r="N78">
        <f t="shared" si="4"/>
        <v>201</v>
      </c>
      <c r="O78">
        <f>L78/N78</f>
        <v>45604.096590085188</v>
      </c>
    </row>
    <row r="79" spans="11:15" x14ac:dyDescent="0.3">
      <c r="K79">
        <v>68</v>
      </c>
      <c r="L79" s="6">
        <f t="shared" si="3"/>
        <v>11183036.565820688</v>
      </c>
      <c r="N79">
        <f t="shared" si="4"/>
        <v>204</v>
      </c>
      <c r="O79">
        <f t="shared" ref="O79:O100" si="6">L79/N79</f>
        <v>54818.806695199455</v>
      </c>
    </row>
    <row r="80" spans="11:15" x14ac:dyDescent="0.3">
      <c r="K80">
        <v>69</v>
      </c>
      <c r="L80" s="6">
        <f t="shared" si="3"/>
        <v>13643304.610301241</v>
      </c>
      <c r="N80">
        <f t="shared" si="4"/>
        <v>207</v>
      </c>
      <c r="O80">
        <f t="shared" si="6"/>
        <v>65909.684107735462</v>
      </c>
    </row>
    <row r="81" spans="11:15" x14ac:dyDescent="0.3">
      <c r="K81">
        <v>70</v>
      </c>
      <c r="L81" s="6">
        <f t="shared" si="3"/>
        <v>16644831.624567514</v>
      </c>
      <c r="N81">
        <f t="shared" si="4"/>
        <v>210</v>
      </c>
      <c r="O81">
        <f t="shared" si="6"/>
        <v>79261.102974131019</v>
      </c>
    </row>
    <row r="82" spans="11:15" x14ac:dyDescent="0.3">
      <c r="K82">
        <v>71</v>
      </c>
      <c r="L82" s="6">
        <f t="shared" si="3"/>
        <v>20306694.581972364</v>
      </c>
      <c r="N82">
        <f t="shared" si="4"/>
        <v>213</v>
      </c>
      <c r="O82">
        <f t="shared" si="6"/>
        <v>95336.594281560392</v>
      </c>
    </row>
    <row r="83" spans="11:15" x14ac:dyDescent="0.3">
      <c r="K83">
        <v>72</v>
      </c>
      <c r="L83" s="6">
        <f t="shared" si="3"/>
        <v>24774167.390006285</v>
      </c>
      <c r="N83">
        <f t="shared" si="4"/>
        <v>216</v>
      </c>
      <c r="O83">
        <f t="shared" si="6"/>
        <v>114695.21939817724</v>
      </c>
    </row>
    <row r="84" spans="11:15" x14ac:dyDescent="0.3">
      <c r="K84">
        <v>73</v>
      </c>
      <c r="L84" s="6">
        <f t="shared" si="3"/>
        <v>30224484.215807669</v>
      </c>
      <c r="N84">
        <f t="shared" si="4"/>
        <v>219</v>
      </c>
      <c r="O84">
        <f t="shared" si="6"/>
        <v>138011.34345117657</v>
      </c>
    </row>
    <row r="85" spans="11:15" x14ac:dyDescent="0.3">
      <c r="K85">
        <v>74</v>
      </c>
      <c r="L85" s="6">
        <f t="shared" si="3"/>
        <v>36873870.743285351</v>
      </c>
      <c r="N85">
        <f t="shared" si="4"/>
        <v>222</v>
      </c>
      <c r="O85">
        <f t="shared" si="6"/>
        <v>166098.51686164571</v>
      </c>
    </row>
    <row r="86" spans="11:15" x14ac:dyDescent="0.3">
      <c r="K86">
        <v>75</v>
      </c>
      <c r="L86" s="6">
        <f t="shared" si="3"/>
        <v>44986122.306808122</v>
      </c>
      <c r="N86">
        <f t="shared" si="4"/>
        <v>225</v>
      </c>
      <c r="O86">
        <f t="shared" si="6"/>
        <v>199938.32136359165</v>
      </c>
    </row>
    <row r="87" spans="11:15" x14ac:dyDescent="0.3">
      <c r="K87">
        <v>76</v>
      </c>
      <c r="L87" s="6">
        <f t="shared" si="3"/>
        <v>54883069.214305907</v>
      </c>
      <c r="N87">
        <f t="shared" si="4"/>
        <v>228</v>
      </c>
      <c r="O87">
        <f t="shared" si="6"/>
        <v>240715.21585221888</v>
      </c>
    </row>
    <row r="88" spans="11:15" x14ac:dyDescent="0.3">
      <c r="K88">
        <v>77</v>
      </c>
      <c r="L88" s="6">
        <f t="shared" si="3"/>
        <v>66957344.441453204</v>
      </c>
      <c r="N88">
        <f t="shared" si="4"/>
        <v>231</v>
      </c>
      <c r="O88">
        <f t="shared" si="6"/>
        <v>289858.63394568488</v>
      </c>
    </row>
    <row r="89" spans="11:15" x14ac:dyDescent="0.3">
      <c r="K89">
        <v>78</v>
      </c>
      <c r="L89" s="6">
        <f t="shared" si="3"/>
        <v>81687960.2185729</v>
      </c>
      <c r="N89">
        <f t="shared" si="4"/>
        <v>234</v>
      </c>
      <c r="O89">
        <f>L89/N89</f>
        <v>349093.84708791837</v>
      </c>
    </row>
    <row r="90" spans="11:15" x14ac:dyDescent="0.3">
      <c r="K90">
        <v>79</v>
      </c>
      <c r="L90" s="6">
        <f t="shared" si="3"/>
        <v>99659311.46665895</v>
      </c>
      <c r="N90">
        <f t="shared" si="4"/>
        <v>237</v>
      </c>
      <c r="O90">
        <f t="shared" si="6"/>
        <v>420503.42390995339</v>
      </c>
    </row>
    <row r="91" spans="11:15" x14ac:dyDescent="0.3">
      <c r="K91">
        <v>80</v>
      </c>
      <c r="L91" s="6">
        <f t="shared" si="3"/>
        <v>121584359.9893239</v>
      </c>
      <c r="N91">
        <f t="shared" si="4"/>
        <v>240</v>
      </c>
      <c r="O91">
        <f t="shared" si="6"/>
        <v>506601.49995551625</v>
      </c>
    </row>
    <row r="92" spans="11:15" x14ac:dyDescent="0.3">
      <c r="K92">
        <v>81</v>
      </c>
      <c r="L92" s="6">
        <f t="shared" si="3"/>
        <v>148332919.18697515</v>
      </c>
      <c r="N92">
        <f t="shared" si="4"/>
        <v>243</v>
      </c>
      <c r="O92">
        <f t="shared" si="6"/>
        <v>610423.53574886895</v>
      </c>
    </row>
    <row r="93" spans="11:15" x14ac:dyDescent="0.3">
      <c r="K93">
        <v>82</v>
      </c>
      <c r="L93" s="6">
        <f t="shared" si="3"/>
        <v>180966161.40810969</v>
      </c>
      <c r="N93">
        <f t="shared" si="4"/>
        <v>246</v>
      </c>
      <c r="O93">
        <f t="shared" si="6"/>
        <v>735634.80247199058</v>
      </c>
    </row>
    <row r="94" spans="11:15" x14ac:dyDescent="0.3">
      <c r="K94">
        <v>83</v>
      </c>
      <c r="L94" s="6">
        <f t="shared" si="3"/>
        <v>220778716.9178938</v>
      </c>
      <c r="N94">
        <f t="shared" si="4"/>
        <v>249</v>
      </c>
      <c r="O94">
        <f t="shared" si="6"/>
        <v>886661.51372648112</v>
      </c>
    </row>
    <row r="95" spans="11:15" x14ac:dyDescent="0.3">
      <c r="K95">
        <v>84</v>
      </c>
      <c r="L95" s="6">
        <f t="shared" si="3"/>
        <v>269350034.63983041</v>
      </c>
      <c r="N95">
        <f t="shared" si="4"/>
        <v>252</v>
      </c>
      <c r="O95">
        <f t="shared" si="6"/>
        <v>1068849.3438088507</v>
      </c>
    </row>
    <row r="96" spans="11:15" x14ac:dyDescent="0.3">
      <c r="K96">
        <v>85</v>
      </c>
      <c r="L96" s="6">
        <f t="shared" si="3"/>
        <v>328607042.26059306</v>
      </c>
      <c r="N96">
        <f t="shared" si="4"/>
        <v>255</v>
      </c>
      <c r="O96">
        <f t="shared" si="6"/>
        <v>1288655.0676886002</v>
      </c>
    </row>
    <row r="97" spans="11:15" x14ac:dyDescent="0.3">
      <c r="K97">
        <v>86</v>
      </c>
      <c r="L97" s="6">
        <f t="shared" si="3"/>
        <v>400900591.55792356</v>
      </c>
      <c r="N97">
        <f t="shared" si="4"/>
        <v>258</v>
      </c>
      <c r="O97">
        <f t="shared" si="6"/>
        <v>1553878.2618524169</v>
      </c>
    </row>
    <row r="98" spans="11:15" x14ac:dyDescent="0.3">
      <c r="K98">
        <v>87</v>
      </c>
      <c r="L98" s="6">
        <f t="shared" si="3"/>
        <v>489098721.70066679</v>
      </c>
      <c r="N98">
        <f t="shared" si="4"/>
        <v>261</v>
      </c>
      <c r="O98">
        <f>L98/N98</f>
        <v>1873941.462454662</v>
      </c>
    </row>
    <row r="99" spans="11:15" x14ac:dyDescent="0.3">
      <c r="K99">
        <v>88</v>
      </c>
      <c r="L99" s="6">
        <f t="shared" si="3"/>
        <v>596700440.47481334</v>
      </c>
      <c r="N99">
        <f t="shared" si="4"/>
        <v>264</v>
      </c>
      <c r="O99">
        <f t="shared" si="6"/>
        <v>2260228.9411924747</v>
      </c>
    </row>
    <row r="100" spans="11:15" x14ac:dyDescent="0.3">
      <c r="K100">
        <v>89</v>
      </c>
      <c r="L100" s="6">
        <f t="shared" si="3"/>
        <v>727974537.37927234</v>
      </c>
      <c r="N100">
        <f t="shared" si="4"/>
        <v>267</v>
      </c>
      <c r="O100">
        <f t="shared" si="6"/>
        <v>2726496.3946789228</v>
      </c>
    </row>
    <row r="101" spans="11:15" x14ac:dyDescent="0.3">
      <c r="K101">
        <v>90</v>
      </c>
      <c r="L101" s="6">
        <f t="shared" si="3"/>
        <v>888128935.60271227</v>
      </c>
      <c r="N101">
        <f t="shared" si="4"/>
        <v>270</v>
      </c>
      <c r="O101">
        <f>L101/N101</f>
        <v>3289366.4281581938</v>
      </c>
    </row>
    <row r="102" spans="11:15" x14ac:dyDescent="0.3">
      <c r="K102">
        <v>91</v>
      </c>
      <c r="L102" s="6">
        <f t="shared" si="3"/>
        <v>1083517301.4353087</v>
      </c>
      <c r="N102">
        <f t="shared" si="4"/>
        <v>273</v>
      </c>
      <c r="O102">
        <f t="shared" ref="O102:O120" si="7">L102/N102</f>
        <v>3968927.84408538</v>
      </c>
    </row>
    <row r="103" spans="11:15" x14ac:dyDescent="0.3">
      <c r="K103">
        <v>92</v>
      </c>
      <c r="L103" s="6">
        <f t="shared" si="3"/>
        <v>1321891107.7510767</v>
      </c>
      <c r="N103">
        <f t="shared" si="4"/>
        <v>276</v>
      </c>
      <c r="O103">
        <f t="shared" si="7"/>
        <v>4789460.5353299882</v>
      </c>
    </row>
    <row r="104" spans="11:15" x14ac:dyDescent="0.3">
      <c r="K104">
        <v>93</v>
      </c>
      <c r="L104" s="6">
        <f t="shared" si="3"/>
        <v>1612707151.4563134</v>
      </c>
      <c r="N104">
        <f t="shared" si="4"/>
        <v>279</v>
      </c>
      <c r="O104">
        <f t="shared" si="7"/>
        <v>5780312.3708111588</v>
      </c>
    </row>
    <row r="105" spans="11:15" x14ac:dyDescent="0.3">
      <c r="K105">
        <v>94</v>
      </c>
      <c r="L105" s="6">
        <f t="shared" si="3"/>
        <v>1967502724.7767022</v>
      </c>
      <c r="N105">
        <f t="shared" si="4"/>
        <v>282</v>
      </c>
      <c r="O105">
        <f t="shared" si="7"/>
        <v>6976960.0169386603</v>
      </c>
    </row>
    <row r="106" spans="11:15" x14ac:dyDescent="0.3">
      <c r="K106">
        <v>95</v>
      </c>
      <c r="L106" s="6">
        <f t="shared" si="3"/>
        <v>2400353324.2275772</v>
      </c>
      <c r="N106">
        <f t="shared" si="4"/>
        <v>285</v>
      </c>
      <c r="O106">
        <f t="shared" si="7"/>
        <v>8422292.3657107968</v>
      </c>
    </row>
    <row r="107" spans="11:15" x14ac:dyDescent="0.3">
      <c r="K107">
        <v>96</v>
      </c>
      <c r="L107" s="6">
        <f t="shared" si="3"/>
        <v>2928431055.5576434</v>
      </c>
      <c r="N107">
        <f t="shared" si="4"/>
        <v>288</v>
      </c>
      <c r="O107">
        <f t="shared" si="7"/>
        <v>10168163.387352929</v>
      </c>
    </row>
    <row r="108" spans="11:15" x14ac:dyDescent="0.3">
      <c r="K108">
        <v>97</v>
      </c>
      <c r="L108" s="6">
        <f t="shared" si="3"/>
        <v>3572685887.7803249</v>
      </c>
      <c r="N108">
        <f t="shared" si="4"/>
        <v>291</v>
      </c>
      <c r="O108">
        <f t="shared" si="7"/>
        <v>12277271.092028609</v>
      </c>
    </row>
    <row r="109" spans="11:15" x14ac:dyDescent="0.3">
      <c r="K109">
        <v>98</v>
      </c>
      <c r="L109" s="6">
        <f t="shared" si="3"/>
        <v>4358676783.0919962</v>
      </c>
      <c r="N109">
        <f t="shared" si="4"/>
        <v>294</v>
      </c>
      <c r="O109">
        <f t="shared" si="7"/>
        <v>14825431.235006791</v>
      </c>
    </row>
    <row r="110" spans="11:15" x14ac:dyDescent="0.3">
      <c r="K110">
        <v>99</v>
      </c>
      <c r="L110" s="6">
        <f t="shared" si="3"/>
        <v>5317585675.3722353</v>
      </c>
      <c r="N110">
        <f t="shared" si="4"/>
        <v>297</v>
      </c>
      <c r="O110">
        <f t="shared" si="7"/>
        <v>17904328.873307191</v>
      </c>
    </row>
    <row r="111" spans="11:15" x14ac:dyDescent="0.3">
      <c r="K111">
        <v>100</v>
      </c>
      <c r="L111" s="6">
        <f t="shared" si="3"/>
        <v>6487454523.9541264</v>
      </c>
      <c r="N111">
        <f t="shared" si="4"/>
        <v>300</v>
      </c>
      <c r="O111">
        <f t="shared" si="7"/>
        <v>21624848.413180422</v>
      </c>
    </row>
    <row r="112" spans="11:15" x14ac:dyDescent="0.3">
      <c r="K112">
        <v>101</v>
      </c>
      <c r="L112" s="6">
        <f t="shared" si="3"/>
        <v>7914694519.2240343</v>
      </c>
      <c r="N112">
        <f t="shared" si="4"/>
        <v>303</v>
      </c>
      <c r="O112">
        <f>L112/N112</f>
        <v>26121104.023841698</v>
      </c>
    </row>
    <row r="113" spans="11:15" x14ac:dyDescent="0.3">
      <c r="K113">
        <v>102</v>
      </c>
      <c r="L113" s="6">
        <f t="shared" si="3"/>
        <v>9655927313.4533195</v>
      </c>
      <c r="N113">
        <f t="shared" si="4"/>
        <v>306</v>
      </c>
      <c r="O113">
        <f t="shared" si="7"/>
        <v>31555318.017821305</v>
      </c>
    </row>
    <row r="114" spans="11:15" x14ac:dyDescent="0.3">
      <c r="K114">
        <v>103</v>
      </c>
      <c r="L114" s="6">
        <f t="shared" si="3"/>
        <v>11780231322.413052</v>
      </c>
      <c r="N114">
        <f t="shared" si="4"/>
        <v>309</v>
      </c>
      <c r="O114">
        <f t="shared" si="7"/>
        <v>38123725.962501787</v>
      </c>
    </row>
    <row r="115" spans="11:15" x14ac:dyDescent="0.3">
      <c r="K115">
        <v>104</v>
      </c>
      <c r="L115" s="6">
        <f t="shared" si="3"/>
        <v>14371882213.34392</v>
      </c>
      <c r="N115">
        <f t="shared" si="4"/>
        <v>312</v>
      </c>
      <c r="O115">
        <f t="shared" si="7"/>
        <v>46063725.04276897</v>
      </c>
    </row>
    <row r="116" spans="11:15" x14ac:dyDescent="0.3">
      <c r="K116">
        <v>105</v>
      </c>
      <c r="L116" s="6">
        <f t="shared" si="3"/>
        <v>17533696300.279583</v>
      </c>
      <c r="N116">
        <f t="shared" si="4"/>
        <v>315</v>
      </c>
      <c r="O116">
        <f t="shared" si="7"/>
        <v>55662527.937395498</v>
      </c>
    </row>
    <row r="117" spans="11:15" x14ac:dyDescent="0.3">
      <c r="K117">
        <v>106</v>
      </c>
      <c r="L117" s="6">
        <f t="shared" si="3"/>
        <v>21391109486.341087</v>
      </c>
      <c r="N117">
        <f t="shared" si="4"/>
        <v>318</v>
      </c>
      <c r="O117">
        <f t="shared" si="7"/>
        <v>67267639.89415437</v>
      </c>
    </row>
    <row r="118" spans="11:15" x14ac:dyDescent="0.3">
      <c r="K118">
        <v>107</v>
      </c>
      <c r="L118" s="6">
        <f t="shared" si="3"/>
        <v>26097153573.336132</v>
      </c>
      <c r="N118">
        <f t="shared" si="4"/>
        <v>321</v>
      </c>
      <c r="O118">
        <f t="shared" si="7"/>
        <v>81299543.842168629</v>
      </c>
    </row>
    <row r="119" spans="11:15" x14ac:dyDescent="0.3">
      <c r="K119">
        <v>108</v>
      </c>
      <c r="L119" s="6">
        <f t="shared" si="3"/>
        <v>31838527359.470074</v>
      </c>
      <c r="N119">
        <f t="shared" si="4"/>
        <v>324</v>
      </c>
      <c r="O119">
        <f t="shared" si="7"/>
        <v>98267059.751450852</v>
      </c>
    </row>
    <row r="120" spans="11:15" x14ac:dyDescent="0.3">
      <c r="K120">
        <v>109</v>
      </c>
      <c r="L120" s="6">
        <f t="shared" si="3"/>
        <v>38843003378.55349</v>
      </c>
      <c r="N120">
        <f t="shared" si="4"/>
        <v>327</v>
      </c>
      <c r="O120">
        <f t="shared" si="7"/>
        <v>118785943.05368039</v>
      </c>
    </row>
    <row r="121" spans="11:15" x14ac:dyDescent="0.3">
      <c r="K121">
        <v>110</v>
      </c>
      <c r="L121" s="6">
        <f t="shared" si="3"/>
        <v>47388464121.835258</v>
      </c>
      <c r="N121">
        <f t="shared" si="4"/>
        <v>330</v>
      </c>
      <c r="O121">
        <f>L121/N121</f>
        <v>143601406.42980382</v>
      </c>
    </row>
    <row r="122" spans="11:15" x14ac:dyDescent="0.3">
      <c r="K122">
        <v>111</v>
      </c>
      <c r="L122" s="6">
        <f t="shared" si="3"/>
        <v>57813926228.639015</v>
      </c>
      <c r="N122">
        <f t="shared" si="4"/>
        <v>333</v>
      </c>
      <c r="O122">
        <f t="shared" ref="O122:O142" si="8">L122/N122</f>
        <v>173615394.07999703</v>
      </c>
    </row>
    <row r="123" spans="11:15" x14ac:dyDescent="0.3">
      <c r="K123">
        <v>112</v>
      </c>
      <c r="L123" s="6">
        <f t="shared" si="3"/>
        <v>70532989998.93959</v>
      </c>
      <c r="N123">
        <f t="shared" si="4"/>
        <v>336</v>
      </c>
      <c r="O123">
        <f t="shared" si="8"/>
        <v>209919613.09208211</v>
      </c>
    </row>
    <row r="124" spans="11:15" x14ac:dyDescent="0.3">
      <c r="K124">
        <v>113</v>
      </c>
      <c r="L124" s="6">
        <f t="shared" si="3"/>
        <v>86050247798.706299</v>
      </c>
      <c r="N124">
        <f t="shared" si="4"/>
        <v>339</v>
      </c>
      <c r="O124">
        <f t="shared" si="8"/>
        <v>253835539.22922212</v>
      </c>
    </row>
    <row r="125" spans="11:15" x14ac:dyDescent="0.3">
      <c r="K125">
        <v>114</v>
      </c>
      <c r="L125" s="6">
        <f t="shared" si="3"/>
        <v>104981302314.42168</v>
      </c>
      <c r="N125">
        <f t="shared" si="4"/>
        <v>342</v>
      </c>
      <c r="O125">
        <f t="shared" si="8"/>
        <v>306962872.26439089</v>
      </c>
    </row>
    <row r="126" spans="11:15" x14ac:dyDescent="0.3">
      <c r="K126">
        <v>115</v>
      </c>
      <c r="L126" s="6">
        <f t="shared" si="3"/>
        <v>128077188823.59444</v>
      </c>
      <c r="N126">
        <f t="shared" si="4"/>
        <v>345</v>
      </c>
      <c r="O126">
        <f t="shared" si="8"/>
        <v>371238228.47418678</v>
      </c>
    </row>
    <row r="127" spans="11:15" x14ac:dyDescent="0.3">
      <c r="K127">
        <v>116</v>
      </c>
      <c r="L127" s="6">
        <f t="shared" si="3"/>
        <v>156254170364.78519</v>
      </c>
      <c r="N127">
        <f t="shared" si="4"/>
        <v>348</v>
      </c>
      <c r="O127">
        <f t="shared" si="8"/>
        <v>449006236.68041718</v>
      </c>
    </row>
    <row r="128" spans="11:15" x14ac:dyDescent="0.3">
      <c r="K128">
        <v>117</v>
      </c>
      <c r="L128" s="6">
        <f t="shared" si="3"/>
        <v>190630087845.03793</v>
      </c>
      <c r="N128">
        <f t="shared" si="4"/>
        <v>351</v>
      </c>
      <c r="O128">
        <f t="shared" si="8"/>
        <v>543105663.37617648</v>
      </c>
    </row>
    <row r="129" spans="11:15" x14ac:dyDescent="0.3">
      <c r="K129">
        <v>118</v>
      </c>
      <c r="L129" s="6">
        <f t="shared" si="3"/>
        <v>232568707170.94629</v>
      </c>
      <c r="N129">
        <f t="shared" si="4"/>
        <v>354</v>
      </c>
      <c r="O129">
        <f t="shared" si="8"/>
        <v>656973749.07046974</v>
      </c>
    </row>
    <row r="130" spans="11:15" x14ac:dyDescent="0.3">
      <c r="K130">
        <v>119</v>
      </c>
      <c r="L130" s="6">
        <f t="shared" si="3"/>
        <v>283733822748.5545</v>
      </c>
      <c r="N130">
        <f t="shared" si="4"/>
        <v>357</v>
      </c>
      <c r="O130">
        <f t="shared" si="8"/>
        <v>794772612.74104905</v>
      </c>
    </row>
    <row r="131" spans="11:15" x14ac:dyDescent="0.3">
      <c r="K131">
        <v>120</v>
      </c>
      <c r="L131" s="6">
        <f t="shared" si="3"/>
        <v>346155263753.23645</v>
      </c>
      <c r="N131">
        <f t="shared" si="4"/>
        <v>360</v>
      </c>
      <c r="O131">
        <f t="shared" si="8"/>
        <v>961542399.31454575</v>
      </c>
    </row>
    <row r="132" spans="11:15" x14ac:dyDescent="0.3">
      <c r="K132">
        <v>121</v>
      </c>
      <c r="L132" s="6">
        <f t="shared" si="3"/>
        <v>422309421778.94843</v>
      </c>
      <c r="N132">
        <f t="shared" si="4"/>
        <v>363</v>
      </c>
      <c r="O132">
        <f>L132/N132</f>
        <v>1163386836.8566072</v>
      </c>
    </row>
    <row r="133" spans="11:15" x14ac:dyDescent="0.3">
      <c r="K133">
        <v>122</v>
      </c>
      <c r="L133" s="6">
        <f t="shared" si="3"/>
        <v>515217494570.31708</v>
      </c>
      <c r="N133">
        <f t="shared" si="4"/>
        <v>366</v>
      </c>
      <c r="O133">
        <f t="shared" si="8"/>
        <v>1407698072.5964947</v>
      </c>
    </row>
    <row r="134" spans="11:15" x14ac:dyDescent="0.3">
      <c r="K134">
        <v>123</v>
      </c>
      <c r="L134" s="6">
        <f t="shared" si="3"/>
        <v>628565343375.78674</v>
      </c>
      <c r="N134">
        <f t="shared" si="4"/>
        <v>369</v>
      </c>
      <c r="O134">
        <f t="shared" si="8"/>
        <v>1703429114.8395305</v>
      </c>
    </row>
    <row r="135" spans="11:15" x14ac:dyDescent="0.3">
      <c r="K135">
        <v>124</v>
      </c>
      <c r="L135" s="6">
        <f t="shared" si="3"/>
        <v>766849718918.45984</v>
      </c>
      <c r="N135">
        <f t="shared" si="4"/>
        <v>372</v>
      </c>
      <c r="O135">
        <f t="shared" si="8"/>
        <v>2061423975.5872576</v>
      </c>
    </row>
    <row r="136" spans="11:15" x14ac:dyDescent="0.3">
      <c r="K136">
        <v>125</v>
      </c>
      <c r="L136" s="6">
        <f t="shared" si="3"/>
        <v>935556657080.521</v>
      </c>
      <c r="N136">
        <f t="shared" si="4"/>
        <v>375</v>
      </c>
      <c r="O136">
        <f t="shared" si="8"/>
        <v>2494817752.2147226</v>
      </c>
    </row>
    <row r="137" spans="11:15" x14ac:dyDescent="0.3">
      <c r="K137">
        <v>126</v>
      </c>
      <c r="L137" s="6">
        <f t="shared" si="3"/>
        <v>1141379121638.2354</v>
      </c>
      <c r="N137">
        <f t="shared" si="4"/>
        <v>378</v>
      </c>
      <c r="O137">
        <f t="shared" si="8"/>
        <v>3019521485.8154373</v>
      </c>
    </row>
    <row r="138" spans="11:15" x14ac:dyDescent="0.3">
      <c r="K138">
        <v>127</v>
      </c>
      <c r="L138" s="6">
        <f t="shared" si="3"/>
        <v>1392482528398.6472</v>
      </c>
      <c r="N138">
        <f t="shared" si="4"/>
        <v>381</v>
      </c>
      <c r="O138">
        <f t="shared" si="8"/>
        <v>3654809785.8232212</v>
      </c>
    </row>
    <row r="139" spans="11:15" x14ac:dyDescent="0.3">
      <c r="K139">
        <v>128</v>
      </c>
      <c r="L139" s="6">
        <f t="shared" si="3"/>
        <v>1698828684646.3496</v>
      </c>
      <c r="N139">
        <f t="shared" si="4"/>
        <v>384</v>
      </c>
      <c r="O139">
        <f t="shared" si="8"/>
        <v>4424033032.9332018</v>
      </c>
    </row>
    <row r="140" spans="11:15" x14ac:dyDescent="0.3">
      <c r="K140">
        <v>129</v>
      </c>
      <c r="L140" s="6">
        <f t="shared" ref="L140:L203" si="9">$I$6*($I$7^K140)</f>
        <v>2072570995268.5464</v>
      </c>
      <c r="N140">
        <f t="shared" ref="N140:N203" si="10">K140*$I$8</f>
        <v>387</v>
      </c>
      <c r="O140">
        <f t="shared" si="8"/>
        <v>5355480607.92906</v>
      </c>
    </row>
    <row r="141" spans="11:15" x14ac:dyDescent="0.3">
      <c r="K141">
        <v>130</v>
      </c>
      <c r="L141" s="6">
        <f t="shared" si="9"/>
        <v>2528536614227.6265</v>
      </c>
      <c r="N141">
        <f t="shared" si="10"/>
        <v>390</v>
      </c>
      <c r="O141">
        <f>L141/N141</f>
        <v>6483427215.9682732</v>
      </c>
    </row>
    <row r="142" spans="11:15" x14ac:dyDescent="0.3">
      <c r="K142">
        <v>131</v>
      </c>
      <c r="L142" s="6">
        <f t="shared" si="9"/>
        <v>3084814669357.7041</v>
      </c>
      <c r="N142">
        <f t="shared" si="10"/>
        <v>393</v>
      </c>
      <c r="O142">
        <f t="shared" si="8"/>
        <v>7849401194.2944126</v>
      </c>
    </row>
    <row r="143" spans="11:15" x14ac:dyDescent="0.3">
      <c r="K143">
        <v>132</v>
      </c>
      <c r="L143" s="6">
        <f t="shared" si="9"/>
        <v>3763473896616.3984</v>
      </c>
      <c r="N143">
        <f t="shared" si="10"/>
        <v>396</v>
      </c>
      <c r="O143">
        <f>L143/N143</f>
        <v>9503721961.1525211</v>
      </c>
    </row>
    <row r="144" spans="11:15" x14ac:dyDescent="0.3">
      <c r="K144">
        <v>133</v>
      </c>
      <c r="L144" s="6">
        <f t="shared" si="9"/>
        <v>4591438153872.0059</v>
      </c>
      <c r="N144">
        <f t="shared" si="10"/>
        <v>399</v>
      </c>
      <c r="O144">
        <f t="shared" ref="O144:O207" si="11">L144/N144</f>
        <v>11507363794.165428</v>
      </c>
    </row>
    <row r="145" spans="11:15" x14ac:dyDescent="0.3">
      <c r="K145">
        <v>134</v>
      </c>
      <c r="L145" s="6">
        <f t="shared" si="9"/>
        <v>5601554547723.8477</v>
      </c>
      <c r="N145">
        <f t="shared" si="10"/>
        <v>402</v>
      </c>
      <c r="O145">
        <f t="shared" si="11"/>
        <v>13934215292.845392</v>
      </c>
    </row>
    <row r="146" spans="11:15" x14ac:dyDescent="0.3">
      <c r="K146">
        <v>135</v>
      </c>
      <c r="L146" s="6">
        <f t="shared" si="9"/>
        <v>6833896548223.0938</v>
      </c>
      <c r="N146">
        <f t="shared" si="10"/>
        <v>405</v>
      </c>
      <c r="O146">
        <f t="shared" si="11"/>
        <v>16873818637.587885</v>
      </c>
    </row>
    <row r="147" spans="11:15" x14ac:dyDescent="0.3">
      <c r="K147">
        <v>136</v>
      </c>
      <c r="L147" s="6">
        <f t="shared" si="9"/>
        <v>8337353788832.1738</v>
      </c>
      <c r="N147">
        <f t="shared" si="10"/>
        <v>408</v>
      </c>
      <c r="O147">
        <f t="shared" si="11"/>
        <v>20434690658.902386</v>
      </c>
    </row>
    <row r="148" spans="11:15" x14ac:dyDescent="0.3">
      <c r="K148">
        <v>137</v>
      </c>
      <c r="L148" s="6">
        <f t="shared" si="9"/>
        <v>10171571622375.252</v>
      </c>
      <c r="N148">
        <f t="shared" si="10"/>
        <v>411</v>
      </c>
      <c r="O148">
        <f t="shared" si="11"/>
        <v>24748349446.168495</v>
      </c>
    </row>
    <row r="149" spans="11:15" x14ac:dyDescent="0.3">
      <c r="K149">
        <v>138</v>
      </c>
      <c r="L149" s="6">
        <f t="shared" si="9"/>
        <v>12409317379297.807</v>
      </c>
      <c r="N149">
        <f t="shared" si="10"/>
        <v>414</v>
      </c>
      <c r="O149">
        <f t="shared" si="11"/>
        <v>29974196568.352188</v>
      </c>
    </row>
    <row r="150" spans="11:15" x14ac:dyDescent="0.3">
      <c r="K150">
        <v>139</v>
      </c>
      <c r="L150" s="6">
        <f t="shared" si="9"/>
        <v>15139367202743.322</v>
      </c>
      <c r="N150">
        <f t="shared" si="10"/>
        <v>417</v>
      </c>
      <c r="O150">
        <f t="shared" si="11"/>
        <v>36305436937.034348</v>
      </c>
    </row>
    <row r="151" spans="11:15" x14ac:dyDescent="0.3">
      <c r="K151">
        <v>140</v>
      </c>
      <c r="L151" s="6">
        <f t="shared" si="9"/>
        <v>18470027987346.855</v>
      </c>
      <c r="N151">
        <f t="shared" si="10"/>
        <v>420</v>
      </c>
      <c r="O151">
        <f t="shared" si="11"/>
        <v>43976257112.730606</v>
      </c>
    </row>
    <row r="152" spans="11:15" x14ac:dyDescent="0.3">
      <c r="K152">
        <v>141</v>
      </c>
      <c r="L152" s="6">
        <f t="shared" si="9"/>
        <v>22533434144563.16</v>
      </c>
      <c r="N152">
        <f t="shared" si="10"/>
        <v>423</v>
      </c>
      <c r="O152">
        <f t="shared" si="11"/>
        <v>53270529892.584305</v>
      </c>
    </row>
    <row r="153" spans="11:15" x14ac:dyDescent="0.3">
      <c r="K153">
        <v>142</v>
      </c>
      <c r="L153" s="6">
        <f t="shared" si="9"/>
        <v>27490789656367.055</v>
      </c>
      <c r="N153">
        <f t="shared" si="10"/>
        <v>426</v>
      </c>
      <c r="O153">
        <f t="shared" si="11"/>
        <v>64532370085.368675</v>
      </c>
    </row>
    <row r="154" spans="11:15" x14ac:dyDescent="0.3">
      <c r="K154">
        <v>143</v>
      </c>
      <c r="L154" s="6">
        <f t="shared" si="9"/>
        <v>33538763380767.809</v>
      </c>
      <c r="N154">
        <f t="shared" si="10"/>
        <v>429</v>
      </c>
      <c r="O154">
        <f>L154/N154</f>
        <v>78178935619.505386</v>
      </c>
    </row>
    <row r="155" spans="11:15" x14ac:dyDescent="0.3">
      <c r="K155">
        <v>144</v>
      </c>
      <c r="L155" s="6">
        <f t="shared" si="9"/>
        <v>40917291324536.719</v>
      </c>
      <c r="N155">
        <f t="shared" si="10"/>
        <v>432</v>
      </c>
      <c r="O155">
        <f t="shared" si="11"/>
        <v>94715952140.131287</v>
      </c>
    </row>
    <row r="156" spans="11:15" x14ac:dyDescent="0.3">
      <c r="K156">
        <v>145</v>
      </c>
      <c r="L156" s="6">
        <f t="shared" si="9"/>
        <v>49919095415934.789</v>
      </c>
      <c r="N156">
        <f t="shared" si="10"/>
        <v>435</v>
      </c>
      <c r="O156">
        <f t="shared" si="11"/>
        <v>114756541186.05699</v>
      </c>
    </row>
    <row r="157" spans="11:15" x14ac:dyDescent="0.3">
      <c r="K157">
        <v>146</v>
      </c>
      <c r="L157" s="6">
        <f t="shared" si="9"/>
        <v>60901296407440.445</v>
      </c>
      <c r="N157">
        <f t="shared" si="10"/>
        <v>438</v>
      </c>
      <c r="O157">
        <f t="shared" si="11"/>
        <v>139044055724.74988</v>
      </c>
    </row>
    <row r="158" spans="11:15" x14ac:dyDescent="0.3">
      <c r="K158">
        <v>147</v>
      </c>
      <c r="L158" s="6">
        <f t="shared" si="9"/>
        <v>74299581617077.344</v>
      </c>
      <c r="N158">
        <f t="shared" si="10"/>
        <v>441</v>
      </c>
      <c r="O158">
        <f t="shared" si="11"/>
        <v>168479776909.47244</v>
      </c>
    </row>
    <row r="159" spans="11:15" x14ac:dyDescent="0.3">
      <c r="K159">
        <v>148</v>
      </c>
      <c r="L159" s="6">
        <f t="shared" si="9"/>
        <v>90645489572834.359</v>
      </c>
      <c r="N159">
        <f t="shared" si="10"/>
        <v>444</v>
      </c>
      <c r="O159">
        <f t="shared" si="11"/>
        <v>204156508046.92422</v>
      </c>
    </row>
    <row r="160" spans="11:15" x14ac:dyDescent="0.3">
      <c r="K160">
        <v>149</v>
      </c>
      <c r="L160" s="6">
        <f t="shared" si="9"/>
        <v>110587497278857.91</v>
      </c>
      <c r="N160">
        <f t="shared" si="10"/>
        <v>447</v>
      </c>
      <c r="O160">
        <f t="shared" si="11"/>
        <v>247399322771.4942</v>
      </c>
    </row>
    <row r="161" spans="11:15" x14ac:dyDescent="0.3">
      <c r="K161">
        <v>150</v>
      </c>
      <c r="L161" s="6">
        <f t="shared" si="9"/>
        <v>134916746680206.66</v>
      </c>
      <c r="N161">
        <f t="shared" si="10"/>
        <v>450</v>
      </c>
      <c r="O161">
        <f t="shared" si="11"/>
        <v>299814992622.68146</v>
      </c>
    </row>
    <row r="162" spans="11:15" x14ac:dyDescent="0.3">
      <c r="K162">
        <v>151</v>
      </c>
      <c r="L162" s="6">
        <f t="shared" si="9"/>
        <v>164598430949852.13</v>
      </c>
      <c r="N162">
        <f t="shared" si="10"/>
        <v>453</v>
      </c>
      <c r="O162">
        <f t="shared" si="11"/>
        <v>363351944701.66034</v>
      </c>
    </row>
    <row r="163" spans="11:15" x14ac:dyDescent="0.3">
      <c r="K163">
        <v>152</v>
      </c>
      <c r="L163" s="6">
        <f t="shared" si="9"/>
        <v>200810085758819.53</v>
      </c>
      <c r="N163">
        <f t="shared" si="10"/>
        <v>456</v>
      </c>
      <c r="O163">
        <f t="shared" si="11"/>
        <v>440372995085.13055</v>
      </c>
    </row>
    <row r="164" spans="11:15" x14ac:dyDescent="0.3">
      <c r="K164">
        <v>153</v>
      </c>
      <c r="L164" s="6">
        <f t="shared" si="9"/>
        <v>244988304625759.84</v>
      </c>
      <c r="N164">
        <f t="shared" si="10"/>
        <v>459</v>
      </c>
      <c r="O164">
        <f t="shared" si="11"/>
        <v>533743583062.65759</v>
      </c>
    </row>
    <row r="165" spans="11:15" x14ac:dyDescent="0.3">
      <c r="K165">
        <v>154</v>
      </c>
      <c r="L165" s="6">
        <f t="shared" si="9"/>
        <v>298885731643427</v>
      </c>
      <c r="N165">
        <f t="shared" si="10"/>
        <v>462</v>
      </c>
      <c r="O165">
        <f t="shared" si="11"/>
        <v>646938813081.01086</v>
      </c>
    </row>
    <row r="166" spans="11:15" x14ac:dyDescent="0.3">
      <c r="K166">
        <v>155</v>
      </c>
      <c r="L166" s="6">
        <f t="shared" si="9"/>
        <v>364640592604980.88</v>
      </c>
      <c r="N166">
        <f t="shared" si="10"/>
        <v>465</v>
      </c>
      <c r="O166">
        <f t="shared" si="11"/>
        <v>784173317430.06641</v>
      </c>
    </row>
    <row r="167" spans="11:15" x14ac:dyDescent="0.3">
      <c r="K167">
        <v>156</v>
      </c>
      <c r="L167" s="6">
        <f t="shared" si="9"/>
        <v>444861522978076.69</v>
      </c>
      <c r="N167">
        <f t="shared" si="10"/>
        <v>468</v>
      </c>
      <c r="O167">
        <f t="shared" si="11"/>
        <v>950558809782.21509</v>
      </c>
    </row>
    <row r="168" spans="11:15" x14ac:dyDescent="0.3">
      <c r="K168">
        <v>157</v>
      </c>
      <c r="L168" s="6">
        <f t="shared" si="9"/>
        <v>542731058033253.5</v>
      </c>
      <c r="N168">
        <f t="shared" si="10"/>
        <v>471</v>
      </c>
      <c r="O168">
        <f t="shared" si="11"/>
        <v>1152295239985.6763</v>
      </c>
    </row>
    <row r="169" spans="11:15" x14ac:dyDescent="0.3">
      <c r="K169">
        <v>158</v>
      </c>
      <c r="L169" s="6">
        <f t="shared" si="9"/>
        <v>662131890800569.25</v>
      </c>
      <c r="N169">
        <f t="shared" si="10"/>
        <v>474</v>
      </c>
      <c r="O169">
        <f t="shared" si="11"/>
        <v>1396902723207.9519</v>
      </c>
    </row>
    <row r="170" spans="11:15" x14ac:dyDescent="0.3">
      <c r="K170">
        <v>159</v>
      </c>
      <c r="L170" s="6">
        <f t="shared" si="9"/>
        <v>807800906776694.5</v>
      </c>
      <c r="N170">
        <f t="shared" si="10"/>
        <v>477</v>
      </c>
      <c r="O170">
        <f t="shared" si="11"/>
        <v>1693502949217.3889</v>
      </c>
    </row>
    <row r="171" spans="11:15" x14ac:dyDescent="0.3">
      <c r="K171">
        <v>160</v>
      </c>
      <c r="L171" s="6">
        <f t="shared" si="9"/>
        <v>985517106267567.25</v>
      </c>
      <c r="N171">
        <f t="shared" si="10"/>
        <v>480</v>
      </c>
      <c r="O171">
        <f t="shared" si="11"/>
        <v>2053160638057.4319</v>
      </c>
    </row>
    <row r="172" spans="11:15" x14ac:dyDescent="0.3">
      <c r="K172">
        <v>161</v>
      </c>
      <c r="L172" s="6">
        <f t="shared" si="9"/>
        <v>1202330869646432</v>
      </c>
      <c r="N172">
        <f t="shared" si="10"/>
        <v>483</v>
      </c>
      <c r="O172">
        <f t="shared" si="11"/>
        <v>2489297866762.7993</v>
      </c>
    </row>
    <row r="173" spans="11:15" x14ac:dyDescent="0.3">
      <c r="K173">
        <v>162</v>
      </c>
      <c r="L173" s="6">
        <f t="shared" si="9"/>
        <v>1466843660968647</v>
      </c>
      <c r="N173">
        <f t="shared" si="10"/>
        <v>486</v>
      </c>
      <c r="O173">
        <f t="shared" si="11"/>
        <v>3018196833268.8208</v>
      </c>
    </row>
    <row r="174" spans="11:15" x14ac:dyDescent="0.3">
      <c r="K174">
        <v>163</v>
      </c>
      <c r="L174" s="6">
        <f t="shared" si="9"/>
        <v>1789549266381749.3</v>
      </c>
      <c r="N174">
        <f t="shared" si="10"/>
        <v>489</v>
      </c>
      <c r="O174">
        <f t="shared" si="11"/>
        <v>3659609951700.9189</v>
      </c>
    </row>
    <row r="175" spans="11:15" x14ac:dyDescent="0.3">
      <c r="K175">
        <v>164</v>
      </c>
      <c r="L175" s="6">
        <f t="shared" si="9"/>
        <v>2183250104985734</v>
      </c>
      <c r="N175">
        <f t="shared" si="10"/>
        <v>492</v>
      </c>
      <c r="O175">
        <f t="shared" si="11"/>
        <v>4437500213385.6387</v>
      </c>
    </row>
    <row r="176" spans="11:15" x14ac:dyDescent="0.3">
      <c r="K176">
        <v>165</v>
      </c>
      <c r="L176" s="6">
        <f t="shared" si="9"/>
        <v>2663565128082595.5</v>
      </c>
      <c r="N176">
        <f t="shared" si="10"/>
        <v>495</v>
      </c>
      <c r="O176">
        <f t="shared" si="11"/>
        <v>5380939652692.1123</v>
      </c>
    </row>
    <row r="177" spans="11:15" x14ac:dyDescent="0.3">
      <c r="K177">
        <v>166</v>
      </c>
      <c r="L177" s="6">
        <f t="shared" si="9"/>
        <v>3249549456260765.5</v>
      </c>
      <c r="N177">
        <f t="shared" si="10"/>
        <v>498</v>
      </c>
      <c r="O177">
        <f t="shared" si="11"/>
        <v>6525199711366.999</v>
      </c>
    </row>
    <row r="178" spans="11:15" x14ac:dyDescent="0.3">
      <c r="K178">
        <v>167</v>
      </c>
      <c r="L178" s="6">
        <f t="shared" si="9"/>
        <v>3964450336638135</v>
      </c>
      <c r="N178">
        <f t="shared" si="10"/>
        <v>501</v>
      </c>
      <c r="O178">
        <f t="shared" si="11"/>
        <v>7913074524227.8145</v>
      </c>
    </row>
    <row r="179" spans="11:15" x14ac:dyDescent="0.3">
      <c r="K179">
        <v>168</v>
      </c>
      <c r="L179" s="6">
        <f t="shared" si="9"/>
        <v>4836629410698523</v>
      </c>
      <c r="N179">
        <f t="shared" si="10"/>
        <v>504</v>
      </c>
      <c r="O179">
        <f t="shared" si="11"/>
        <v>9596486925989.1328</v>
      </c>
    </row>
    <row r="180" spans="11:15" x14ac:dyDescent="0.3">
      <c r="K180">
        <v>169</v>
      </c>
      <c r="L180" s="6">
        <f t="shared" si="9"/>
        <v>5900687881052198</v>
      </c>
      <c r="N180">
        <f t="shared" si="10"/>
        <v>507</v>
      </c>
      <c r="O180">
        <f t="shared" si="11"/>
        <v>11638437635211.436</v>
      </c>
    </row>
    <row r="181" spans="11:15" x14ac:dyDescent="0.3">
      <c r="K181">
        <v>170</v>
      </c>
      <c r="L181" s="6">
        <f t="shared" si="9"/>
        <v>7198839214883681</v>
      </c>
      <c r="N181">
        <f t="shared" si="10"/>
        <v>510</v>
      </c>
      <c r="O181">
        <f t="shared" si="11"/>
        <v>14115371009575.846</v>
      </c>
    </row>
    <row r="182" spans="11:15" x14ac:dyDescent="0.3">
      <c r="K182">
        <v>171</v>
      </c>
      <c r="L182" s="6">
        <f t="shared" si="9"/>
        <v>8782583842158092</v>
      </c>
      <c r="N182">
        <f t="shared" si="10"/>
        <v>513</v>
      </c>
      <c r="O182">
        <f t="shared" si="11"/>
        <v>17120046475941.699</v>
      </c>
    </row>
    <row r="183" spans="11:15" x14ac:dyDescent="0.3">
      <c r="K183">
        <v>172</v>
      </c>
      <c r="L183" s="6">
        <f t="shared" si="9"/>
        <v>1.071475228743287E+16</v>
      </c>
      <c r="N183">
        <f t="shared" si="10"/>
        <v>516</v>
      </c>
      <c r="O183">
        <f t="shared" si="11"/>
        <v>20765023812854.398</v>
      </c>
    </row>
    <row r="184" spans="11:15" x14ac:dyDescent="0.3">
      <c r="K184">
        <v>173</v>
      </c>
      <c r="L184" s="6">
        <f t="shared" si="9"/>
        <v>1.30719977906681E+16</v>
      </c>
      <c r="N184">
        <f t="shared" si="10"/>
        <v>519</v>
      </c>
      <c r="O184">
        <f t="shared" si="11"/>
        <v>25186893623637.957</v>
      </c>
    </row>
    <row r="185" spans="11:15" x14ac:dyDescent="0.3">
      <c r="K185">
        <v>174</v>
      </c>
      <c r="L185" s="6">
        <f t="shared" si="9"/>
        <v>1.5947837304615082E+16</v>
      </c>
      <c r="N185">
        <f t="shared" si="10"/>
        <v>522</v>
      </c>
      <c r="O185">
        <f t="shared" si="11"/>
        <v>30551412460948.434</v>
      </c>
    </row>
    <row r="186" spans="11:15" x14ac:dyDescent="0.3">
      <c r="K186">
        <v>175</v>
      </c>
      <c r="L186" s="6">
        <f t="shared" si="9"/>
        <v>1.94563615116304E+16</v>
      </c>
      <c r="N186">
        <f t="shared" si="10"/>
        <v>525</v>
      </c>
      <c r="O186">
        <f t="shared" si="11"/>
        <v>37059736212629.336</v>
      </c>
    </row>
    <row r="187" spans="11:15" x14ac:dyDescent="0.3">
      <c r="K187">
        <v>176</v>
      </c>
      <c r="L187" s="6">
        <f t="shared" si="9"/>
        <v>2.3736761044189088E+16</v>
      </c>
      <c r="N187">
        <f t="shared" si="10"/>
        <v>528</v>
      </c>
      <c r="O187">
        <f t="shared" si="11"/>
        <v>44955986826115.695</v>
      </c>
    </row>
    <row r="188" spans="11:15" x14ac:dyDescent="0.3">
      <c r="K188">
        <v>177</v>
      </c>
      <c r="L188" s="6">
        <f t="shared" si="9"/>
        <v>2.8958848473910684E+16</v>
      </c>
      <c r="N188">
        <f t="shared" si="10"/>
        <v>531</v>
      </c>
      <c r="O188">
        <f t="shared" si="11"/>
        <v>54536437803974.922</v>
      </c>
    </row>
    <row r="189" spans="11:15" x14ac:dyDescent="0.3">
      <c r="K189">
        <v>178</v>
      </c>
      <c r="L189" s="6">
        <f t="shared" si="9"/>
        <v>3.5329795138171036E+16</v>
      </c>
      <c r="N189">
        <f t="shared" si="10"/>
        <v>534</v>
      </c>
      <c r="O189">
        <f t="shared" si="11"/>
        <v>66160665052754.75</v>
      </c>
    </row>
    <row r="190" spans="11:15" x14ac:dyDescent="0.3">
      <c r="K190">
        <v>179</v>
      </c>
      <c r="L190" s="6">
        <f t="shared" si="9"/>
        <v>4.3102350068568656E+16</v>
      </c>
      <c r="N190">
        <f t="shared" si="10"/>
        <v>537</v>
      </c>
      <c r="O190">
        <f t="shared" si="11"/>
        <v>80265083926571.047</v>
      </c>
    </row>
    <row r="191" spans="11:15" x14ac:dyDescent="0.3">
      <c r="K191">
        <v>180</v>
      </c>
      <c r="L191" s="6">
        <f t="shared" si="9"/>
        <v>5.2584867083653752E+16</v>
      </c>
      <c r="N191">
        <f t="shared" si="10"/>
        <v>540</v>
      </c>
      <c r="O191">
        <f t="shared" si="11"/>
        <v>97379383488247.688</v>
      </c>
    </row>
    <row r="192" spans="11:15" x14ac:dyDescent="0.3">
      <c r="K192">
        <v>181</v>
      </c>
      <c r="L192" s="6">
        <f t="shared" si="9"/>
        <v>6.4153537842057584E+16</v>
      </c>
      <c r="N192">
        <f t="shared" si="10"/>
        <v>543</v>
      </c>
      <c r="O192">
        <f t="shared" si="11"/>
        <v>118146478530492.78</v>
      </c>
    </row>
    <row r="193" spans="11:15" x14ac:dyDescent="0.3">
      <c r="K193">
        <v>182</v>
      </c>
      <c r="L193" s="6">
        <f t="shared" si="9"/>
        <v>7.826731616731024E+16</v>
      </c>
      <c r="N193">
        <f t="shared" si="10"/>
        <v>546</v>
      </c>
      <c r="O193">
        <f t="shared" si="11"/>
        <v>143346732907161.63</v>
      </c>
    </row>
    <row r="194" spans="11:15" x14ac:dyDescent="0.3">
      <c r="K194">
        <v>183</v>
      </c>
      <c r="L194" s="6">
        <f t="shared" si="9"/>
        <v>9.5486125724118528E+16</v>
      </c>
      <c r="N194">
        <f t="shared" si="10"/>
        <v>549</v>
      </c>
      <c r="O194">
        <f t="shared" si="11"/>
        <v>173927369260689.5</v>
      </c>
    </row>
    <row r="195" spans="11:15" x14ac:dyDescent="0.3">
      <c r="K195">
        <v>184</v>
      </c>
      <c r="L195" s="6">
        <f t="shared" si="9"/>
        <v>1.1649307338342458E+17</v>
      </c>
      <c r="N195">
        <f t="shared" si="10"/>
        <v>552</v>
      </c>
      <c r="O195">
        <f t="shared" si="11"/>
        <v>211038176419247.41</v>
      </c>
    </row>
    <row r="196" spans="11:15" x14ac:dyDescent="0.3">
      <c r="K196">
        <v>185</v>
      </c>
      <c r="L196" s="6">
        <f t="shared" si="9"/>
        <v>1.4212154952777795E+17</v>
      </c>
      <c r="N196">
        <f t="shared" si="10"/>
        <v>555</v>
      </c>
      <c r="O196">
        <f t="shared" si="11"/>
        <v>256074864014014.31</v>
      </c>
    </row>
    <row r="197" spans="11:15" x14ac:dyDescent="0.3">
      <c r="K197">
        <v>186</v>
      </c>
      <c r="L197" s="6">
        <f t="shared" si="9"/>
        <v>1.7338829042388915E+17</v>
      </c>
      <c r="N197">
        <f t="shared" si="10"/>
        <v>558</v>
      </c>
      <c r="O197">
        <f t="shared" si="11"/>
        <v>310731703268618.56</v>
      </c>
    </row>
    <row r="198" spans="11:15" x14ac:dyDescent="0.3">
      <c r="K198">
        <v>187</v>
      </c>
      <c r="L198" s="6">
        <f t="shared" si="9"/>
        <v>2.115337143171447E+17</v>
      </c>
      <c r="N198">
        <f t="shared" si="10"/>
        <v>561</v>
      </c>
      <c r="O198">
        <f t="shared" si="11"/>
        <v>377065444415587.69</v>
      </c>
    </row>
    <row r="199" spans="11:15" x14ac:dyDescent="0.3">
      <c r="K199">
        <v>188</v>
      </c>
      <c r="L199" s="6">
        <f t="shared" si="9"/>
        <v>2.5807113146691658E+17</v>
      </c>
      <c r="N199">
        <f t="shared" si="10"/>
        <v>564</v>
      </c>
      <c r="O199">
        <f t="shared" si="11"/>
        <v>457572928132830.81</v>
      </c>
    </row>
    <row r="200" spans="11:15" x14ac:dyDescent="0.3">
      <c r="K200">
        <v>189</v>
      </c>
      <c r="L200" s="6">
        <f t="shared" si="9"/>
        <v>3.1484678038963821E+17</v>
      </c>
      <c r="N200">
        <f t="shared" si="10"/>
        <v>567</v>
      </c>
      <c r="O200">
        <f t="shared" si="11"/>
        <v>555285326965852.19</v>
      </c>
    </row>
    <row r="201" spans="11:15" x14ac:dyDescent="0.3">
      <c r="K201">
        <v>190</v>
      </c>
      <c r="L201" s="6">
        <f t="shared" si="9"/>
        <v>3.8411307207535853E+17</v>
      </c>
      <c r="N201">
        <f t="shared" si="10"/>
        <v>570</v>
      </c>
      <c r="O201">
        <f t="shared" si="11"/>
        <v>673882582588348.25</v>
      </c>
    </row>
    <row r="202" spans="11:15" x14ac:dyDescent="0.3">
      <c r="K202">
        <v>191</v>
      </c>
      <c r="L202" s="6">
        <f t="shared" si="9"/>
        <v>4.6861794793193741E+17</v>
      </c>
      <c r="N202">
        <f t="shared" si="10"/>
        <v>573</v>
      </c>
      <c r="O202">
        <f t="shared" si="11"/>
        <v>817832369863765.13</v>
      </c>
    </row>
    <row r="203" spans="11:15" x14ac:dyDescent="0.3">
      <c r="K203">
        <v>192</v>
      </c>
      <c r="L203" s="6">
        <f t="shared" si="9"/>
        <v>5.7171389647696358E+17</v>
      </c>
      <c r="N203">
        <f t="shared" si="10"/>
        <v>576</v>
      </c>
      <c r="O203">
        <f t="shared" si="11"/>
        <v>992558848050284</v>
      </c>
    </row>
    <row r="204" spans="11:15" x14ac:dyDescent="0.3">
      <c r="K204">
        <v>193</v>
      </c>
      <c r="L204" s="6">
        <f t="shared" ref="L204:L267" si="12">$I$6*($I$7^K204)</f>
        <v>6.9749095370189542E+17</v>
      </c>
      <c r="N204">
        <f t="shared" ref="N204:N267" si="13">K204*$I$8</f>
        <v>579</v>
      </c>
      <c r="O204">
        <f t="shared" si="11"/>
        <v>1204647588431598.3</v>
      </c>
    </row>
    <row r="205" spans="11:15" x14ac:dyDescent="0.3">
      <c r="K205">
        <v>194</v>
      </c>
      <c r="L205" s="6">
        <f t="shared" si="12"/>
        <v>8.5093896351631258E+17</v>
      </c>
      <c r="N205">
        <f t="shared" si="13"/>
        <v>582</v>
      </c>
      <c r="O205">
        <f t="shared" si="11"/>
        <v>1462094439031465</v>
      </c>
    </row>
    <row r="206" spans="11:15" x14ac:dyDescent="0.3">
      <c r="K206">
        <v>195</v>
      </c>
      <c r="L206" s="6">
        <f t="shared" si="12"/>
        <v>1.0381455354899012E+18</v>
      </c>
      <c r="N206">
        <f t="shared" si="13"/>
        <v>585</v>
      </c>
      <c r="O206">
        <f t="shared" si="11"/>
        <v>1774607752974190</v>
      </c>
    </row>
    <row r="207" spans="11:15" x14ac:dyDescent="0.3">
      <c r="K207">
        <v>196</v>
      </c>
      <c r="L207" s="6">
        <f t="shared" si="12"/>
        <v>1.2665375532976794E+18</v>
      </c>
      <c r="N207">
        <f t="shared" si="13"/>
        <v>588</v>
      </c>
      <c r="O207">
        <f t="shared" si="11"/>
        <v>2153975430778366.3</v>
      </c>
    </row>
    <row r="208" spans="11:15" x14ac:dyDescent="0.3">
      <c r="K208">
        <v>197</v>
      </c>
      <c r="L208" s="6">
        <f t="shared" si="12"/>
        <v>1.545175815023169E+18</v>
      </c>
      <c r="N208">
        <f t="shared" si="13"/>
        <v>591</v>
      </c>
      <c r="O208">
        <f t="shared" ref="O208:O271" si="14">L208/N208</f>
        <v>2614510685318391</v>
      </c>
    </row>
    <row r="209" spans="11:15" x14ac:dyDescent="0.3">
      <c r="K209">
        <v>198</v>
      </c>
      <c r="L209" s="6">
        <f t="shared" si="12"/>
        <v>1.885114494328266E+18</v>
      </c>
      <c r="N209">
        <f t="shared" si="13"/>
        <v>594</v>
      </c>
      <c r="O209">
        <f t="shared" si="14"/>
        <v>3173593424795060.5</v>
      </c>
    </row>
    <row r="210" spans="11:15" x14ac:dyDescent="0.3">
      <c r="K210">
        <v>199</v>
      </c>
      <c r="L210" s="6">
        <f t="shared" si="12"/>
        <v>2.2998396830804841E+18</v>
      </c>
      <c r="N210">
        <f t="shared" si="13"/>
        <v>597</v>
      </c>
      <c r="O210">
        <f t="shared" si="14"/>
        <v>3852327777354244.5</v>
      </c>
    </row>
    <row r="211" spans="11:15" x14ac:dyDescent="0.3">
      <c r="K211">
        <v>200</v>
      </c>
      <c r="L211" s="6">
        <f t="shared" si="12"/>
        <v>2.8058044133581906E+18</v>
      </c>
      <c r="N211">
        <f t="shared" si="13"/>
        <v>600</v>
      </c>
      <c r="O211">
        <f t="shared" si="14"/>
        <v>4676340688930318</v>
      </c>
    </row>
    <row r="212" spans="11:15" x14ac:dyDescent="0.3">
      <c r="K212">
        <v>201</v>
      </c>
      <c r="L212" s="6">
        <f t="shared" si="12"/>
        <v>3.4230813842969928E+18</v>
      </c>
      <c r="N212">
        <f t="shared" si="13"/>
        <v>603</v>
      </c>
      <c r="O212">
        <f t="shared" si="14"/>
        <v>5676751881089540</v>
      </c>
    </row>
    <row r="213" spans="11:15" x14ac:dyDescent="0.3">
      <c r="K213">
        <v>202</v>
      </c>
      <c r="L213" s="6">
        <f t="shared" si="12"/>
        <v>4.1761592888423311E+18</v>
      </c>
      <c r="N213">
        <f t="shared" si="13"/>
        <v>606</v>
      </c>
      <c r="O213">
        <f t="shared" si="14"/>
        <v>6891351961786025</v>
      </c>
    </row>
    <row r="214" spans="11:15" x14ac:dyDescent="0.3">
      <c r="K214">
        <v>203</v>
      </c>
      <c r="L214" s="6">
        <f t="shared" si="12"/>
        <v>5.0949143323876424E+18</v>
      </c>
      <c r="N214">
        <f t="shared" si="13"/>
        <v>609</v>
      </c>
      <c r="O214">
        <f t="shared" si="14"/>
        <v>8366033386515012</v>
      </c>
    </row>
    <row r="215" spans="11:15" x14ac:dyDescent="0.3">
      <c r="K215">
        <v>204</v>
      </c>
      <c r="L215" s="6">
        <f t="shared" si="12"/>
        <v>6.2157954855129242E+18</v>
      </c>
      <c r="N215">
        <f t="shared" si="13"/>
        <v>612</v>
      </c>
      <c r="O215">
        <f t="shared" si="14"/>
        <v>1.015652857109955E+16</v>
      </c>
    </row>
    <row r="216" spans="11:15" x14ac:dyDescent="0.3">
      <c r="K216">
        <v>205</v>
      </c>
      <c r="L216" s="6">
        <f t="shared" si="12"/>
        <v>7.5832704923257672E+18</v>
      </c>
      <c r="N216">
        <f t="shared" si="13"/>
        <v>615</v>
      </c>
      <c r="O216">
        <f t="shared" si="14"/>
        <v>1.2330521125732954E+16</v>
      </c>
    </row>
    <row r="217" spans="11:15" x14ac:dyDescent="0.3">
      <c r="K217">
        <v>206</v>
      </c>
      <c r="L217" s="6">
        <f t="shared" si="12"/>
        <v>9.2515900006374359E+18</v>
      </c>
      <c r="N217">
        <f t="shared" si="13"/>
        <v>618</v>
      </c>
      <c r="O217">
        <f t="shared" si="14"/>
        <v>1.4970210357018504E+16</v>
      </c>
    </row>
    <row r="218" spans="11:15" x14ac:dyDescent="0.3">
      <c r="K218">
        <v>207</v>
      </c>
      <c r="L218" s="6">
        <f t="shared" si="12"/>
        <v>1.1286939800777671E+19</v>
      </c>
      <c r="N218">
        <f t="shared" si="13"/>
        <v>621</v>
      </c>
      <c r="O218">
        <f t="shared" si="14"/>
        <v>1.817542641027E+16</v>
      </c>
    </row>
    <row r="219" spans="11:15" x14ac:dyDescent="0.3">
      <c r="K219">
        <v>208</v>
      </c>
      <c r="L219" s="6">
        <f t="shared" si="12"/>
        <v>1.3770066556948759E+19</v>
      </c>
      <c r="N219">
        <f t="shared" si="13"/>
        <v>624</v>
      </c>
      <c r="O219">
        <f t="shared" si="14"/>
        <v>2.2067414354084548E+16</v>
      </c>
    </row>
    <row r="220" spans="11:15" x14ac:dyDescent="0.3">
      <c r="K220">
        <v>209</v>
      </c>
      <c r="L220" s="6">
        <f t="shared" si="12"/>
        <v>1.6799481199477484E+19</v>
      </c>
      <c r="N220">
        <f t="shared" si="13"/>
        <v>627</v>
      </c>
      <c r="O220">
        <f t="shared" si="14"/>
        <v>2.6793430940155476E+16</v>
      </c>
    </row>
    <row r="221" spans="11:15" x14ac:dyDescent="0.3">
      <c r="K221">
        <v>210</v>
      </c>
      <c r="L221" s="6">
        <f t="shared" si="12"/>
        <v>2.0495367063362531E+19</v>
      </c>
      <c r="N221">
        <f t="shared" si="13"/>
        <v>630</v>
      </c>
      <c r="O221">
        <f t="shared" si="14"/>
        <v>3.2532328672004016E+16</v>
      </c>
    </row>
    <row r="222" spans="11:15" x14ac:dyDescent="0.3">
      <c r="K222">
        <v>211</v>
      </c>
      <c r="L222" s="6">
        <f t="shared" si="12"/>
        <v>2.5004347817302282E+19</v>
      </c>
      <c r="N222">
        <f t="shared" si="13"/>
        <v>633</v>
      </c>
      <c r="O222">
        <f t="shared" si="14"/>
        <v>3.9501339363826672E+16</v>
      </c>
    </row>
    <row r="223" spans="11:15" x14ac:dyDescent="0.3">
      <c r="K223">
        <v>212</v>
      </c>
      <c r="L223" s="6">
        <f t="shared" si="12"/>
        <v>3.0505304337108783E+19</v>
      </c>
      <c r="N223">
        <f t="shared" si="13"/>
        <v>636</v>
      </c>
      <c r="O223">
        <f t="shared" si="14"/>
        <v>4.7964314995454064E+16</v>
      </c>
    </row>
    <row r="224" spans="11:15" x14ac:dyDescent="0.3">
      <c r="K224">
        <v>213</v>
      </c>
      <c r="L224" s="6">
        <f t="shared" si="12"/>
        <v>3.7216471291272716E+19</v>
      </c>
      <c r="N224">
        <f t="shared" si="13"/>
        <v>639</v>
      </c>
      <c r="O224">
        <f t="shared" si="14"/>
        <v>5.8241739109972952E+16</v>
      </c>
    </row>
    <row r="225" spans="11:15" x14ac:dyDescent="0.3">
      <c r="K225">
        <v>214</v>
      </c>
      <c r="L225" s="6">
        <f t="shared" si="12"/>
        <v>4.5404094975352709E+19</v>
      </c>
      <c r="N225">
        <f t="shared" si="13"/>
        <v>642</v>
      </c>
      <c r="O225">
        <f t="shared" si="14"/>
        <v>7.0722889369708272E+16</v>
      </c>
    </row>
    <row r="226" spans="11:15" x14ac:dyDescent="0.3">
      <c r="K226">
        <v>215</v>
      </c>
      <c r="L226" s="6">
        <f t="shared" si="12"/>
        <v>5.5392995869930316E+19</v>
      </c>
      <c r="N226">
        <f t="shared" si="13"/>
        <v>645</v>
      </c>
      <c r="O226">
        <f t="shared" si="14"/>
        <v>8.5880613751829952E+16</v>
      </c>
    </row>
    <row r="227" spans="11:15" x14ac:dyDescent="0.3">
      <c r="K227">
        <v>216</v>
      </c>
      <c r="L227" s="6">
        <f t="shared" si="12"/>
        <v>6.7579454961314972E+19</v>
      </c>
      <c r="N227">
        <f t="shared" si="13"/>
        <v>648</v>
      </c>
      <c r="O227">
        <f t="shared" si="14"/>
        <v>1.0428928234770829E+17</v>
      </c>
    </row>
    <row r="228" spans="11:15" x14ac:dyDescent="0.3">
      <c r="K228">
        <v>217</v>
      </c>
      <c r="L228" s="6">
        <f t="shared" si="12"/>
        <v>8.244693505280426E+19</v>
      </c>
      <c r="N228">
        <f t="shared" si="13"/>
        <v>651</v>
      </c>
      <c r="O228">
        <f t="shared" si="14"/>
        <v>1.2664659762335523E+17</v>
      </c>
    </row>
    <row r="229" spans="11:15" x14ac:dyDescent="0.3">
      <c r="K229">
        <v>218</v>
      </c>
      <c r="L229" s="6">
        <f t="shared" si="12"/>
        <v>1.0058526076442119E+20</v>
      </c>
      <c r="N229">
        <f t="shared" si="13"/>
        <v>654</v>
      </c>
      <c r="O229">
        <f t="shared" si="14"/>
        <v>1.5380009291195901E+17</v>
      </c>
    </row>
    <row r="230" spans="11:15" x14ac:dyDescent="0.3">
      <c r="K230">
        <v>219</v>
      </c>
      <c r="L230" s="6">
        <f t="shared" si="12"/>
        <v>1.2271401813259384E+20</v>
      </c>
      <c r="N230">
        <f t="shared" si="13"/>
        <v>657</v>
      </c>
      <c r="O230">
        <f t="shared" si="14"/>
        <v>1.8677932744687037E+17</v>
      </c>
    </row>
    <row r="231" spans="11:15" x14ac:dyDescent="0.3">
      <c r="K231">
        <v>220</v>
      </c>
      <c r="L231" s="6">
        <f t="shared" si="12"/>
        <v>1.4971110212176452E+20</v>
      </c>
      <c r="N231">
        <f t="shared" si="13"/>
        <v>660</v>
      </c>
      <c r="O231">
        <f t="shared" si="14"/>
        <v>2.2683500321479472E+17</v>
      </c>
    </row>
    <row r="232" spans="11:15" x14ac:dyDescent="0.3">
      <c r="K232">
        <v>221</v>
      </c>
      <c r="L232" s="6">
        <f t="shared" si="12"/>
        <v>1.8264754458855267E+20</v>
      </c>
      <c r="N232">
        <f t="shared" si="13"/>
        <v>663</v>
      </c>
      <c r="O232">
        <f t="shared" si="14"/>
        <v>2.7548649259208547E+17</v>
      </c>
    </row>
    <row r="233" spans="11:15" x14ac:dyDescent="0.3">
      <c r="K233">
        <v>222</v>
      </c>
      <c r="L233" s="6">
        <f t="shared" si="12"/>
        <v>2.2283000439803426E+20</v>
      </c>
      <c r="N233">
        <f t="shared" si="13"/>
        <v>666</v>
      </c>
      <c r="O233">
        <f t="shared" si="14"/>
        <v>3.3457958618323462E+17</v>
      </c>
    </row>
    <row r="234" spans="11:15" x14ac:dyDescent="0.3">
      <c r="K234">
        <v>223</v>
      </c>
      <c r="L234" s="6">
        <f t="shared" si="12"/>
        <v>2.718526053656018E+20</v>
      </c>
      <c r="N234">
        <f t="shared" si="13"/>
        <v>669</v>
      </c>
      <c r="O234">
        <f t="shared" si="14"/>
        <v>4.0635665973931507E+17</v>
      </c>
    </row>
    <row r="235" spans="11:15" x14ac:dyDescent="0.3">
      <c r="K235">
        <v>224</v>
      </c>
      <c r="L235" s="6">
        <f t="shared" si="12"/>
        <v>3.3166017854603415E+20</v>
      </c>
      <c r="N235">
        <f t="shared" si="13"/>
        <v>672</v>
      </c>
      <c r="O235">
        <f t="shared" si="14"/>
        <v>4.9354193236016986E+17</v>
      </c>
    </row>
    <row r="236" spans="11:15" x14ac:dyDescent="0.3">
      <c r="K236">
        <v>225</v>
      </c>
      <c r="L236" s="6">
        <f t="shared" si="12"/>
        <v>4.0462541782616166E+20</v>
      </c>
      <c r="N236">
        <f t="shared" si="13"/>
        <v>675</v>
      </c>
      <c r="O236">
        <f t="shared" si="14"/>
        <v>5.9944506344616538E+17</v>
      </c>
    </row>
    <row r="237" spans="11:15" x14ac:dyDescent="0.3">
      <c r="K237">
        <v>226</v>
      </c>
      <c r="L237" s="6">
        <f t="shared" si="12"/>
        <v>4.9364300974791714E+20</v>
      </c>
      <c r="N237">
        <f t="shared" si="13"/>
        <v>678</v>
      </c>
      <c r="O237">
        <f t="shared" si="14"/>
        <v>7.280870350264265E+17</v>
      </c>
    </row>
    <row r="238" spans="11:15" x14ac:dyDescent="0.3">
      <c r="K238">
        <v>227</v>
      </c>
      <c r="L238" s="6">
        <f t="shared" si="12"/>
        <v>6.02244471892459E+20</v>
      </c>
      <c r="N238">
        <f t="shared" si="13"/>
        <v>681</v>
      </c>
      <c r="O238">
        <f t="shared" si="14"/>
        <v>8.8435311584795738E+17</v>
      </c>
    </row>
    <row r="239" spans="11:15" x14ac:dyDescent="0.3">
      <c r="K239">
        <v>228</v>
      </c>
      <c r="L239" s="6">
        <f t="shared" si="12"/>
        <v>7.3473825570879989E+20</v>
      </c>
      <c r="N239">
        <f t="shared" si="13"/>
        <v>684</v>
      </c>
      <c r="O239">
        <f t="shared" si="14"/>
        <v>1.0741787364163741E+18</v>
      </c>
    </row>
    <row r="240" spans="11:15" x14ac:dyDescent="0.3">
      <c r="K240">
        <v>229</v>
      </c>
      <c r="L240" s="6">
        <f t="shared" si="12"/>
        <v>8.9638067196473586E+20</v>
      </c>
      <c r="N240">
        <f t="shared" si="13"/>
        <v>687</v>
      </c>
      <c r="O240">
        <f t="shared" si="14"/>
        <v>1.3047753594828762E+18</v>
      </c>
    </row>
    <row r="241" spans="11:15" x14ac:dyDescent="0.3">
      <c r="K241">
        <v>230</v>
      </c>
      <c r="L241" s="6">
        <f t="shared" si="12"/>
        <v>1.0935844197969776E+21</v>
      </c>
      <c r="N241">
        <f t="shared" si="13"/>
        <v>690</v>
      </c>
      <c r="O241">
        <f t="shared" si="14"/>
        <v>1.5849049562275036E+18</v>
      </c>
    </row>
    <row r="242" spans="11:15" x14ac:dyDescent="0.3">
      <c r="K242">
        <v>231</v>
      </c>
      <c r="L242" s="6">
        <f t="shared" si="12"/>
        <v>1.3341729921523127E+21</v>
      </c>
      <c r="N242">
        <f t="shared" si="13"/>
        <v>693</v>
      </c>
      <c r="O242">
        <f t="shared" si="14"/>
        <v>1.9252135528893402E+18</v>
      </c>
    </row>
    <row r="243" spans="11:15" x14ac:dyDescent="0.3">
      <c r="K243">
        <v>232</v>
      </c>
      <c r="L243" s="6">
        <f t="shared" si="12"/>
        <v>1.6276910504258212E+21</v>
      </c>
      <c r="N243">
        <f t="shared" si="13"/>
        <v>696</v>
      </c>
      <c r="O243">
        <f t="shared" si="14"/>
        <v>2.338636566703766E+18</v>
      </c>
    </row>
    <row r="244" spans="11:15" x14ac:dyDescent="0.3">
      <c r="K244">
        <v>233</v>
      </c>
      <c r="L244" s="6">
        <f t="shared" si="12"/>
        <v>1.9857830815195021E+21</v>
      </c>
      <c r="N244">
        <f t="shared" si="13"/>
        <v>699</v>
      </c>
      <c r="O244">
        <f t="shared" si="14"/>
        <v>2.8408913898705321E+18</v>
      </c>
    </row>
    <row r="245" spans="11:15" x14ac:dyDescent="0.3">
      <c r="K245">
        <v>234</v>
      </c>
      <c r="L245" s="6">
        <f t="shared" si="12"/>
        <v>2.4226553594537915E+21</v>
      </c>
      <c r="N245">
        <f t="shared" si="13"/>
        <v>702</v>
      </c>
      <c r="O245">
        <f t="shared" si="14"/>
        <v>3.4510760106179364E+18</v>
      </c>
    </row>
    <row r="246" spans="11:15" x14ac:dyDescent="0.3">
      <c r="K246">
        <v>235</v>
      </c>
      <c r="L246" s="6">
        <f t="shared" si="12"/>
        <v>2.9556395385336265E+21</v>
      </c>
      <c r="N246">
        <f t="shared" si="13"/>
        <v>705</v>
      </c>
      <c r="O246">
        <f t="shared" si="14"/>
        <v>4.1923965085583355E+18</v>
      </c>
    </row>
    <row r="247" spans="11:15" x14ac:dyDescent="0.3">
      <c r="K247">
        <v>236</v>
      </c>
      <c r="L247" s="6">
        <f t="shared" si="12"/>
        <v>3.605880237011024E+21</v>
      </c>
      <c r="N247">
        <f t="shared" si="13"/>
        <v>708</v>
      </c>
      <c r="O247">
        <f t="shared" si="14"/>
        <v>5.0930511822189609E+18</v>
      </c>
    </row>
    <row r="248" spans="11:15" x14ac:dyDescent="0.3">
      <c r="K248">
        <v>237</v>
      </c>
      <c r="L248" s="6">
        <f t="shared" si="12"/>
        <v>4.3991738891534493E+21</v>
      </c>
      <c r="N248">
        <f t="shared" si="13"/>
        <v>711</v>
      </c>
      <c r="O248">
        <f t="shared" si="14"/>
        <v>6.1873050480357939E+18</v>
      </c>
    </row>
    <row r="249" spans="11:15" x14ac:dyDescent="0.3">
      <c r="K249">
        <v>238</v>
      </c>
      <c r="L249" s="6">
        <f t="shared" si="12"/>
        <v>5.3669921447672073E+21</v>
      </c>
      <c r="N249">
        <f t="shared" si="13"/>
        <v>714</v>
      </c>
      <c r="O249">
        <f t="shared" si="14"/>
        <v>7.516795720962475E+18</v>
      </c>
    </row>
    <row r="250" spans="11:15" x14ac:dyDescent="0.3">
      <c r="K250">
        <v>239</v>
      </c>
      <c r="L250" s="6">
        <f t="shared" si="12"/>
        <v>6.5477304166159934E+21</v>
      </c>
      <c r="N250">
        <f t="shared" si="13"/>
        <v>717</v>
      </c>
      <c r="O250">
        <f t="shared" si="14"/>
        <v>9.1321205252663788E+18</v>
      </c>
    </row>
    <row r="251" spans="11:15" x14ac:dyDescent="0.3">
      <c r="K251">
        <v>240</v>
      </c>
      <c r="L251" s="6">
        <f t="shared" si="12"/>
        <v>7.9882311082715109E+21</v>
      </c>
      <c r="N251">
        <f t="shared" si="13"/>
        <v>720</v>
      </c>
      <c r="O251">
        <f t="shared" si="14"/>
        <v>1.1094765428154876E+19</v>
      </c>
    </row>
    <row r="252" spans="11:15" x14ac:dyDescent="0.3">
      <c r="K252">
        <v>241</v>
      </c>
      <c r="L252" s="6">
        <f t="shared" si="12"/>
        <v>9.745641952091243E+21</v>
      </c>
      <c r="N252">
        <f t="shared" si="13"/>
        <v>723</v>
      </c>
      <c r="O252">
        <f t="shared" si="14"/>
        <v>1.3479449449642107E+19</v>
      </c>
    </row>
    <row r="253" spans="11:15" x14ac:dyDescent="0.3">
      <c r="K253">
        <v>242</v>
      </c>
      <c r="L253" s="6">
        <f t="shared" si="12"/>
        <v>1.1889683181551317E+22</v>
      </c>
      <c r="N253">
        <f t="shared" si="13"/>
        <v>726</v>
      </c>
      <c r="O253">
        <f t="shared" si="14"/>
        <v>1.6376974079271786E+19</v>
      </c>
    </row>
    <row r="254" spans="11:15" x14ac:dyDescent="0.3">
      <c r="K254">
        <v>243</v>
      </c>
      <c r="L254" s="6">
        <f t="shared" si="12"/>
        <v>1.4505413481492604E+22</v>
      </c>
      <c r="N254">
        <f t="shared" si="13"/>
        <v>729</v>
      </c>
      <c r="O254">
        <f t="shared" si="14"/>
        <v>1.9897686531539923E+19</v>
      </c>
    </row>
    <row r="255" spans="11:15" x14ac:dyDescent="0.3">
      <c r="K255">
        <v>244</v>
      </c>
      <c r="L255" s="6">
        <f t="shared" si="12"/>
        <v>1.7696604447420975E+22</v>
      </c>
      <c r="N255">
        <f t="shared" si="13"/>
        <v>732</v>
      </c>
      <c r="O255">
        <f t="shared" si="14"/>
        <v>2.4175689135821005E+19</v>
      </c>
    </row>
    <row r="256" spans="11:15" x14ac:dyDescent="0.3">
      <c r="K256">
        <v>245</v>
      </c>
      <c r="L256" s="6">
        <f t="shared" si="12"/>
        <v>2.1589857425853591E+22</v>
      </c>
      <c r="N256">
        <f t="shared" si="13"/>
        <v>735</v>
      </c>
      <c r="O256">
        <f t="shared" si="14"/>
        <v>2.9373955681433457E+19</v>
      </c>
    </row>
    <row r="257" spans="11:15" x14ac:dyDescent="0.3">
      <c r="K257">
        <v>246</v>
      </c>
      <c r="L257" s="6">
        <f t="shared" si="12"/>
        <v>2.6339626059541378E+22</v>
      </c>
      <c r="N257">
        <f t="shared" si="13"/>
        <v>738</v>
      </c>
      <c r="O257">
        <f t="shared" si="14"/>
        <v>3.5690550216180728E+19</v>
      </c>
    </row>
    <row r="258" spans="11:15" x14ac:dyDescent="0.3">
      <c r="K258">
        <v>247</v>
      </c>
      <c r="L258" s="6">
        <f t="shared" si="12"/>
        <v>3.2134343792640483E+22</v>
      </c>
      <c r="N258">
        <f t="shared" si="13"/>
        <v>741</v>
      </c>
      <c r="O258">
        <f t="shared" si="14"/>
        <v>4.3366185954980413E+19</v>
      </c>
    </row>
    <row r="259" spans="11:15" x14ac:dyDescent="0.3">
      <c r="K259">
        <v>248</v>
      </c>
      <c r="L259" s="6">
        <f t="shared" si="12"/>
        <v>3.920389942702139E+22</v>
      </c>
      <c r="N259">
        <f t="shared" si="13"/>
        <v>744</v>
      </c>
      <c r="O259">
        <f t="shared" si="14"/>
        <v>5.2693413208362082E+19</v>
      </c>
    </row>
    <row r="260" spans="11:15" x14ac:dyDescent="0.3">
      <c r="K260">
        <v>249</v>
      </c>
      <c r="L260" s="6">
        <f t="shared" si="12"/>
        <v>4.7828757300966087E+22</v>
      </c>
      <c r="N260">
        <f t="shared" si="13"/>
        <v>747</v>
      </c>
      <c r="O260">
        <f t="shared" si="14"/>
        <v>6.4027787551494095E+19</v>
      </c>
    </row>
    <row r="261" spans="11:15" x14ac:dyDescent="0.3">
      <c r="K261">
        <v>250</v>
      </c>
      <c r="L261" s="6">
        <f t="shared" si="12"/>
        <v>5.8351083907178627E+22</v>
      </c>
      <c r="N261">
        <f t="shared" si="13"/>
        <v>750</v>
      </c>
      <c r="O261">
        <f t="shared" si="14"/>
        <v>7.7801445209571508E+19</v>
      </c>
    </row>
    <row r="262" spans="11:15" x14ac:dyDescent="0.3">
      <c r="K262">
        <v>251</v>
      </c>
      <c r="L262" s="6">
        <f t="shared" si="12"/>
        <v>7.118832236675792E+22</v>
      </c>
      <c r="N262">
        <f t="shared" si="13"/>
        <v>753</v>
      </c>
      <c r="O262">
        <f t="shared" si="14"/>
        <v>9.45396047367303E+19</v>
      </c>
    </row>
    <row r="263" spans="11:15" x14ac:dyDescent="0.3">
      <c r="K263">
        <v>252</v>
      </c>
      <c r="L263" s="6">
        <f t="shared" si="12"/>
        <v>8.6849753287444658E+22</v>
      </c>
      <c r="N263">
        <f t="shared" si="13"/>
        <v>756</v>
      </c>
      <c r="O263">
        <f t="shared" si="14"/>
        <v>1.1488062604159346E+20</v>
      </c>
    </row>
    <row r="264" spans="11:15" x14ac:dyDescent="0.3">
      <c r="K264">
        <v>253</v>
      </c>
      <c r="L264" s="6">
        <f t="shared" si="12"/>
        <v>1.0595669901068249E+23</v>
      </c>
      <c r="N264">
        <f t="shared" si="13"/>
        <v>759</v>
      </c>
      <c r="O264">
        <f t="shared" si="14"/>
        <v>1.3960039395346837E+20</v>
      </c>
    </row>
    <row r="265" spans="11:15" x14ac:dyDescent="0.3">
      <c r="K265">
        <v>254</v>
      </c>
      <c r="L265" s="6">
        <f t="shared" si="12"/>
        <v>1.2926717279303262E+23</v>
      </c>
      <c r="N265">
        <f t="shared" si="13"/>
        <v>762</v>
      </c>
      <c r="O265">
        <f t="shared" si="14"/>
        <v>1.6964195904597456E+20</v>
      </c>
    </row>
    <row r="266" spans="11:15" x14ac:dyDescent="0.3">
      <c r="K266">
        <v>255</v>
      </c>
      <c r="L266" s="6">
        <f t="shared" si="12"/>
        <v>1.577059508074998E+23</v>
      </c>
      <c r="N266">
        <f t="shared" si="13"/>
        <v>765</v>
      </c>
      <c r="O266">
        <f t="shared" si="14"/>
        <v>2.0615156968300629E+20</v>
      </c>
    </row>
    <row r="267" spans="11:15" x14ac:dyDescent="0.3">
      <c r="K267">
        <v>256</v>
      </c>
      <c r="L267" s="6">
        <f t="shared" si="12"/>
        <v>1.9240125998514973E+23</v>
      </c>
      <c r="N267">
        <f t="shared" si="13"/>
        <v>768</v>
      </c>
      <c r="O267">
        <f t="shared" si="14"/>
        <v>2.5052247393899705E+20</v>
      </c>
    </row>
    <row r="268" spans="11:15" x14ac:dyDescent="0.3">
      <c r="K268">
        <v>257</v>
      </c>
      <c r="L268" s="6">
        <f t="shared" ref="L268:L331" si="15">$I$6*($I$7^K268)</f>
        <v>2.3472953718188266E+23</v>
      </c>
      <c r="N268">
        <f t="shared" ref="N268:N331" si="16">K268*$I$8</f>
        <v>771</v>
      </c>
      <c r="O268">
        <f t="shared" si="14"/>
        <v>3.0444816755108001E+20</v>
      </c>
    </row>
    <row r="269" spans="11:15" x14ac:dyDescent="0.3">
      <c r="K269">
        <v>258</v>
      </c>
      <c r="L269" s="6">
        <f t="shared" si="15"/>
        <v>2.8637003536189689E+23</v>
      </c>
      <c r="N269">
        <f t="shared" si="16"/>
        <v>774</v>
      </c>
      <c r="O269">
        <f t="shared" si="14"/>
        <v>3.6998712579056448E+20</v>
      </c>
    </row>
    <row r="270" spans="11:15" x14ac:dyDescent="0.3">
      <c r="K270">
        <v>259</v>
      </c>
      <c r="L270" s="6">
        <f t="shared" si="15"/>
        <v>3.4937144314151411E+23</v>
      </c>
      <c r="N270">
        <f t="shared" si="16"/>
        <v>777</v>
      </c>
      <c r="O270">
        <f t="shared" si="14"/>
        <v>4.496414969646256E+20</v>
      </c>
    </row>
    <row r="271" spans="11:15" x14ac:dyDescent="0.3">
      <c r="K271">
        <v>260</v>
      </c>
      <c r="L271" s="6">
        <f t="shared" si="15"/>
        <v>4.262331606326472E+23</v>
      </c>
      <c r="N271">
        <f t="shared" si="16"/>
        <v>780</v>
      </c>
      <c r="O271">
        <f t="shared" si="14"/>
        <v>5.4645277004185541E+20</v>
      </c>
    </row>
    <row r="272" spans="11:15" x14ac:dyDescent="0.3">
      <c r="K272">
        <v>261</v>
      </c>
      <c r="L272" s="6">
        <f t="shared" si="15"/>
        <v>5.2000445597182964E+23</v>
      </c>
      <c r="N272">
        <f t="shared" si="16"/>
        <v>783</v>
      </c>
      <c r="O272">
        <f t="shared" ref="O272:O331" si="17">L272/N272</f>
        <v>6.6411807914665338E+20</v>
      </c>
    </row>
    <row r="273" spans="11:15" x14ac:dyDescent="0.3">
      <c r="K273">
        <v>262</v>
      </c>
      <c r="L273" s="6">
        <f t="shared" si="15"/>
        <v>6.3440543628563218E+23</v>
      </c>
      <c r="N273">
        <f t="shared" si="16"/>
        <v>786</v>
      </c>
      <c r="O273">
        <f t="shared" si="17"/>
        <v>8.0713159832777628E+20</v>
      </c>
    </row>
    <row r="274" spans="11:15" x14ac:dyDescent="0.3">
      <c r="K274">
        <v>263</v>
      </c>
      <c r="L274" s="6">
        <f t="shared" si="15"/>
        <v>7.7397463226847113E+23</v>
      </c>
      <c r="N274">
        <f t="shared" si="16"/>
        <v>789</v>
      </c>
      <c r="O274">
        <f t="shared" si="17"/>
        <v>9.8095644140490641E+20</v>
      </c>
    </row>
    <row r="275" spans="11:15" x14ac:dyDescent="0.3">
      <c r="K275">
        <v>264</v>
      </c>
      <c r="L275" s="6">
        <f t="shared" si="15"/>
        <v>9.4424905136753468E+23</v>
      </c>
      <c r="N275">
        <f t="shared" si="16"/>
        <v>792</v>
      </c>
      <c r="O275">
        <f t="shared" si="17"/>
        <v>1.1922336507165842E+21</v>
      </c>
    </row>
    <row r="276" spans="11:15" x14ac:dyDescent="0.3">
      <c r="K276">
        <v>265</v>
      </c>
      <c r="L276" s="6">
        <f t="shared" si="15"/>
        <v>1.1519838426683922E+24</v>
      </c>
      <c r="N276">
        <f t="shared" si="16"/>
        <v>795</v>
      </c>
      <c r="O276">
        <f t="shared" si="17"/>
        <v>1.4490362800860278E+21</v>
      </c>
    </row>
    <row r="277" spans="11:15" x14ac:dyDescent="0.3">
      <c r="K277">
        <v>266</v>
      </c>
      <c r="L277" s="6">
        <f t="shared" si="15"/>
        <v>1.4054202880554386E+24</v>
      </c>
      <c r="N277">
        <f t="shared" si="16"/>
        <v>798</v>
      </c>
      <c r="O277">
        <f t="shared" si="17"/>
        <v>1.7611783058338829E+21</v>
      </c>
    </row>
    <row r="278" spans="11:15" x14ac:dyDescent="0.3">
      <c r="K278">
        <v>267</v>
      </c>
      <c r="L278" s="6">
        <f t="shared" si="15"/>
        <v>1.7146127514276347E+24</v>
      </c>
      <c r="N278">
        <f t="shared" si="16"/>
        <v>801</v>
      </c>
      <c r="O278">
        <f t="shared" si="17"/>
        <v>2.1405902015326276E+21</v>
      </c>
    </row>
    <row r="279" spans="11:15" x14ac:dyDescent="0.3">
      <c r="K279">
        <v>268</v>
      </c>
      <c r="L279" s="6">
        <f t="shared" si="15"/>
        <v>2.0918275567417145E+24</v>
      </c>
      <c r="N279">
        <f t="shared" si="16"/>
        <v>804</v>
      </c>
      <c r="O279">
        <f t="shared" si="17"/>
        <v>2.6017755680867096E+21</v>
      </c>
    </row>
    <row r="280" spans="11:15" x14ac:dyDescent="0.3">
      <c r="K280">
        <v>269</v>
      </c>
      <c r="L280" s="6">
        <f t="shared" si="15"/>
        <v>2.5520296192248912E+24</v>
      </c>
      <c r="N280">
        <f t="shared" si="16"/>
        <v>807</v>
      </c>
      <c r="O280">
        <f t="shared" si="17"/>
        <v>3.1623663187421204E+21</v>
      </c>
    </row>
    <row r="281" spans="11:15" x14ac:dyDescent="0.3">
      <c r="K281">
        <v>270</v>
      </c>
      <c r="L281" s="6">
        <f t="shared" si="15"/>
        <v>3.1134761354543676E+24</v>
      </c>
      <c r="N281">
        <f t="shared" si="16"/>
        <v>810</v>
      </c>
      <c r="O281">
        <f t="shared" si="17"/>
        <v>3.8437976980918119E+21</v>
      </c>
    </row>
    <row r="282" spans="11:15" x14ac:dyDescent="0.3">
      <c r="K282">
        <v>271</v>
      </c>
      <c r="L282" s="6">
        <f t="shared" si="15"/>
        <v>3.7984408852543284E+24</v>
      </c>
      <c r="N282">
        <f t="shared" si="16"/>
        <v>813</v>
      </c>
      <c r="O282">
        <f t="shared" si="17"/>
        <v>4.6721290101529253E+21</v>
      </c>
    </row>
    <row r="283" spans="11:15" x14ac:dyDescent="0.3">
      <c r="K283">
        <v>272</v>
      </c>
      <c r="L283" s="6">
        <f t="shared" si="15"/>
        <v>4.6340978800102797E+24</v>
      </c>
      <c r="N283">
        <f t="shared" si="16"/>
        <v>816</v>
      </c>
      <c r="O283">
        <f t="shared" si="17"/>
        <v>5.6790415196204407E+21</v>
      </c>
    </row>
    <row r="284" spans="11:15" x14ac:dyDescent="0.3">
      <c r="K284">
        <v>273</v>
      </c>
      <c r="L284" s="6">
        <f t="shared" si="15"/>
        <v>5.6535994136125407E+24</v>
      </c>
      <c r="N284">
        <f t="shared" si="16"/>
        <v>819</v>
      </c>
      <c r="O284">
        <f t="shared" si="17"/>
        <v>6.9030517870726994E+21</v>
      </c>
    </row>
    <row r="285" spans="11:15" x14ac:dyDescent="0.3">
      <c r="K285">
        <v>274</v>
      </c>
      <c r="L285" s="6">
        <f t="shared" si="15"/>
        <v>6.8973912846072996E+24</v>
      </c>
      <c r="N285">
        <f t="shared" si="16"/>
        <v>822</v>
      </c>
      <c r="O285">
        <f t="shared" si="17"/>
        <v>8.3909869642424569E+21</v>
      </c>
    </row>
    <row r="286" spans="11:15" x14ac:dyDescent="0.3">
      <c r="K286">
        <v>275</v>
      </c>
      <c r="L286" s="6">
        <f t="shared" si="15"/>
        <v>8.4148173672209063E+24</v>
      </c>
      <c r="N286">
        <f t="shared" si="16"/>
        <v>825</v>
      </c>
      <c r="O286">
        <f t="shared" si="17"/>
        <v>1.0199778626934432E+22</v>
      </c>
    </row>
    <row r="287" spans="11:15" x14ac:dyDescent="0.3">
      <c r="K287">
        <v>276</v>
      </c>
      <c r="L287" s="6">
        <f t="shared" si="15"/>
        <v>1.0266077188009505E+25</v>
      </c>
      <c r="N287">
        <f t="shared" si="16"/>
        <v>828</v>
      </c>
      <c r="O287">
        <f t="shared" si="17"/>
        <v>1.2398643946871383E+22</v>
      </c>
    </row>
    <row r="288" spans="11:15" x14ac:dyDescent="0.3">
      <c r="K288">
        <v>277</v>
      </c>
      <c r="L288" s="6">
        <f t="shared" si="15"/>
        <v>1.2524614169371594E+25</v>
      </c>
      <c r="N288">
        <f t="shared" si="16"/>
        <v>831</v>
      </c>
      <c r="O288">
        <f t="shared" si="17"/>
        <v>1.5071737869279896E+22</v>
      </c>
    </row>
    <row r="289" spans="11:15" x14ac:dyDescent="0.3">
      <c r="K289">
        <v>278</v>
      </c>
      <c r="L289" s="6">
        <f t="shared" si="15"/>
        <v>1.5280029286633345E+25</v>
      </c>
      <c r="N289">
        <f t="shared" si="16"/>
        <v>834</v>
      </c>
      <c r="O289">
        <f t="shared" si="17"/>
        <v>1.8321378041526791E+22</v>
      </c>
    </row>
    <row r="290" spans="11:15" x14ac:dyDescent="0.3">
      <c r="K290">
        <v>279</v>
      </c>
      <c r="L290" s="6">
        <f t="shared" si="15"/>
        <v>1.8641635729692683E+25</v>
      </c>
      <c r="N290">
        <f t="shared" si="16"/>
        <v>837</v>
      </c>
      <c r="O290">
        <f t="shared" si="17"/>
        <v>2.2271966224244544E+22</v>
      </c>
    </row>
    <row r="291" spans="11:15" x14ac:dyDescent="0.3">
      <c r="K291">
        <v>280</v>
      </c>
      <c r="L291" s="6">
        <f t="shared" si="15"/>
        <v>2.2742795590225071E+25</v>
      </c>
      <c r="N291">
        <f t="shared" si="16"/>
        <v>840</v>
      </c>
      <c r="O291">
        <f t="shared" si="17"/>
        <v>2.7074756655029846E+22</v>
      </c>
    </row>
    <row r="292" spans="11:15" x14ac:dyDescent="0.3">
      <c r="K292">
        <v>281</v>
      </c>
      <c r="L292" s="6">
        <f t="shared" si="15"/>
        <v>2.7746210620074586E+25</v>
      </c>
      <c r="N292">
        <f t="shared" si="16"/>
        <v>843</v>
      </c>
      <c r="O292">
        <f t="shared" si="17"/>
        <v>3.2913654353587885E+22</v>
      </c>
    </row>
    <row r="293" spans="11:15" x14ac:dyDescent="0.3">
      <c r="K293">
        <v>282</v>
      </c>
      <c r="L293" s="6">
        <f t="shared" si="15"/>
        <v>3.3850376956490992E+25</v>
      </c>
      <c r="N293">
        <f t="shared" si="16"/>
        <v>846</v>
      </c>
      <c r="O293">
        <f t="shared" si="17"/>
        <v>4.001226590601772E+22</v>
      </c>
    </row>
    <row r="294" spans="11:15" x14ac:dyDescent="0.3">
      <c r="K294">
        <v>283</v>
      </c>
      <c r="L294" s="6">
        <f t="shared" si="15"/>
        <v>4.1297459886919005E+25</v>
      </c>
      <c r="N294">
        <f t="shared" si="16"/>
        <v>849</v>
      </c>
      <c r="O294">
        <f t="shared" si="17"/>
        <v>4.8642473365040049E+22</v>
      </c>
    </row>
    <row r="295" spans="11:15" x14ac:dyDescent="0.3">
      <c r="K295">
        <v>284</v>
      </c>
      <c r="L295" s="6">
        <f t="shared" si="15"/>
        <v>5.0382901062041181E+25</v>
      </c>
      <c r="N295">
        <f t="shared" si="16"/>
        <v>852</v>
      </c>
      <c r="O295">
        <f t="shared" si="17"/>
        <v>5.9134860401456783E+22</v>
      </c>
    </row>
    <row r="296" spans="11:15" x14ac:dyDescent="0.3">
      <c r="K296">
        <v>285</v>
      </c>
      <c r="L296" s="6">
        <f t="shared" si="15"/>
        <v>6.1467139295690243E+25</v>
      </c>
      <c r="N296">
        <f t="shared" si="16"/>
        <v>855</v>
      </c>
      <c r="O296">
        <f t="shared" si="17"/>
        <v>7.1891390989111392E+22</v>
      </c>
    </row>
    <row r="297" spans="11:15" x14ac:dyDescent="0.3">
      <c r="K297">
        <v>286</v>
      </c>
      <c r="L297" s="6">
        <f t="shared" si="15"/>
        <v>7.4989909940742084E+25</v>
      </c>
      <c r="N297">
        <f t="shared" si="16"/>
        <v>858</v>
      </c>
      <c r="O297">
        <f t="shared" si="17"/>
        <v>8.740082743676234E+22</v>
      </c>
    </row>
    <row r="298" spans="11:15" x14ac:dyDescent="0.3">
      <c r="K298">
        <v>287</v>
      </c>
      <c r="L298" s="6">
        <f t="shared" si="15"/>
        <v>9.1487690127705355E+25</v>
      </c>
      <c r="N298">
        <f t="shared" si="16"/>
        <v>861</v>
      </c>
      <c r="O298">
        <f t="shared" si="17"/>
        <v>1.0625747982311887E+23</v>
      </c>
    </row>
    <row r="299" spans="11:15" x14ac:dyDescent="0.3">
      <c r="K299">
        <v>288</v>
      </c>
      <c r="L299" s="6">
        <f t="shared" si="15"/>
        <v>1.1161498195580052E+26</v>
      </c>
      <c r="N299">
        <f t="shared" si="16"/>
        <v>864</v>
      </c>
      <c r="O299">
        <f t="shared" si="17"/>
        <v>1.2918400689328765E+23</v>
      </c>
    </row>
    <row r="300" spans="11:15" x14ac:dyDescent="0.3">
      <c r="K300">
        <v>289</v>
      </c>
      <c r="L300" s="6">
        <f t="shared" si="15"/>
        <v>1.3617027798607663E+26</v>
      </c>
      <c r="N300">
        <f t="shared" si="16"/>
        <v>867</v>
      </c>
      <c r="O300">
        <f t="shared" si="17"/>
        <v>1.5705914415925793E+23</v>
      </c>
    </row>
    <row r="301" spans="11:15" x14ac:dyDescent="0.3">
      <c r="K301">
        <v>290</v>
      </c>
      <c r="L301" s="6">
        <f t="shared" si="15"/>
        <v>1.6612773914301346E+26</v>
      </c>
      <c r="N301">
        <f t="shared" si="16"/>
        <v>870</v>
      </c>
      <c r="O301">
        <f t="shared" si="17"/>
        <v>1.9095142430231433E+23</v>
      </c>
    </row>
    <row r="302" spans="11:15" x14ac:dyDescent="0.3">
      <c r="K302">
        <v>291</v>
      </c>
      <c r="L302" s="6">
        <f t="shared" si="15"/>
        <v>2.0267584175447644E+26</v>
      </c>
      <c r="N302">
        <f t="shared" si="16"/>
        <v>873</v>
      </c>
      <c r="O302">
        <f t="shared" si="17"/>
        <v>2.3216018528576912E+23</v>
      </c>
    </row>
    <row r="303" spans="11:15" x14ac:dyDescent="0.3">
      <c r="K303">
        <v>292</v>
      </c>
      <c r="L303" s="6">
        <f t="shared" si="15"/>
        <v>2.4726452694046123E+26</v>
      </c>
      <c r="N303">
        <f t="shared" si="16"/>
        <v>876</v>
      </c>
      <c r="O303">
        <f t="shared" si="17"/>
        <v>2.8226544171285527E+23</v>
      </c>
    </row>
    <row r="304" spans="11:15" x14ac:dyDescent="0.3">
      <c r="K304">
        <v>293</v>
      </c>
      <c r="L304" s="6">
        <f t="shared" si="15"/>
        <v>3.0166272286736273E+26</v>
      </c>
      <c r="N304">
        <f t="shared" si="16"/>
        <v>879</v>
      </c>
      <c r="O304">
        <f t="shared" si="17"/>
        <v>3.4318853568528182E+23</v>
      </c>
    </row>
    <row r="305" spans="11:15" x14ac:dyDescent="0.3">
      <c r="K305">
        <v>294</v>
      </c>
      <c r="L305" s="6">
        <f t="shared" si="15"/>
        <v>3.6802852189818248E+26</v>
      </c>
      <c r="N305">
        <f t="shared" si="16"/>
        <v>882</v>
      </c>
      <c r="O305">
        <f t="shared" si="17"/>
        <v>4.172658978437443E+23</v>
      </c>
    </row>
    <row r="306" spans="11:15" x14ac:dyDescent="0.3">
      <c r="K306">
        <v>295</v>
      </c>
      <c r="L306" s="6">
        <f t="shared" si="15"/>
        <v>4.4899479671578269E+26</v>
      </c>
      <c r="N306">
        <f t="shared" si="16"/>
        <v>885</v>
      </c>
      <c r="O306">
        <f t="shared" si="17"/>
        <v>5.0733875335116685E+23</v>
      </c>
    </row>
    <row r="307" spans="11:15" x14ac:dyDescent="0.3">
      <c r="K307">
        <v>296</v>
      </c>
      <c r="L307" s="6">
        <f t="shared" si="15"/>
        <v>5.4777365199325474E+26</v>
      </c>
      <c r="N307">
        <f t="shared" si="16"/>
        <v>888</v>
      </c>
      <c r="O307">
        <f t="shared" si="17"/>
        <v>6.1686222071312472E+23</v>
      </c>
    </row>
    <row r="308" spans="11:15" x14ac:dyDescent="0.3">
      <c r="K308">
        <v>297</v>
      </c>
      <c r="L308" s="6">
        <f t="shared" si="15"/>
        <v>6.6828385543177072E+26</v>
      </c>
      <c r="N308">
        <f t="shared" si="16"/>
        <v>891</v>
      </c>
      <c r="O308">
        <f t="shared" si="17"/>
        <v>7.5003799711758783E+23</v>
      </c>
    </row>
    <row r="309" spans="11:15" x14ac:dyDescent="0.3">
      <c r="K309">
        <v>298</v>
      </c>
      <c r="L309" s="6">
        <f t="shared" si="15"/>
        <v>8.153063036267602E+26</v>
      </c>
      <c r="N309">
        <f t="shared" si="16"/>
        <v>894</v>
      </c>
      <c r="O309">
        <f t="shared" si="17"/>
        <v>9.1197573112612997E+23</v>
      </c>
    </row>
    <row r="310" spans="11:15" x14ac:dyDescent="0.3">
      <c r="K310">
        <v>299</v>
      </c>
      <c r="L310" s="6">
        <f t="shared" si="15"/>
        <v>9.9467369042464753E+26</v>
      </c>
      <c r="N310">
        <f t="shared" si="16"/>
        <v>897</v>
      </c>
      <c r="O310">
        <f t="shared" si="17"/>
        <v>1.1088892869839995E+24</v>
      </c>
    </row>
    <row r="311" spans="11:15" x14ac:dyDescent="0.3">
      <c r="K311">
        <v>300</v>
      </c>
      <c r="L311" s="6">
        <f t="shared" si="15"/>
        <v>1.2135019023180697E+27</v>
      </c>
      <c r="N311">
        <f t="shared" si="16"/>
        <v>900</v>
      </c>
      <c r="O311">
        <f t="shared" si="17"/>
        <v>1.3483354470200775E+24</v>
      </c>
    </row>
    <row r="312" spans="11:15" x14ac:dyDescent="0.3">
      <c r="K312">
        <v>301</v>
      </c>
      <c r="L312" s="6">
        <f t="shared" si="15"/>
        <v>1.480472320828045E+27</v>
      </c>
      <c r="N312">
        <f t="shared" si="16"/>
        <v>903</v>
      </c>
      <c r="O312">
        <f t="shared" si="17"/>
        <v>1.6395042312602936E+24</v>
      </c>
    </row>
    <row r="313" spans="11:15" x14ac:dyDescent="0.3">
      <c r="K313">
        <v>302</v>
      </c>
      <c r="L313" s="6">
        <f t="shared" si="15"/>
        <v>1.8061762314102148E+27</v>
      </c>
      <c r="N313">
        <f t="shared" si="16"/>
        <v>906</v>
      </c>
      <c r="O313">
        <f t="shared" si="17"/>
        <v>1.9935719993490231E+24</v>
      </c>
    </row>
    <row r="314" spans="11:15" x14ac:dyDescent="0.3">
      <c r="K314">
        <v>303</v>
      </c>
      <c r="L314" s="6">
        <f t="shared" si="15"/>
        <v>2.2035350023204625E+27</v>
      </c>
      <c r="N314">
        <f t="shared" si="16"/>
        <v>909</v>
      </c>
      <c r="O314">
        <f t="shared" si="17"/>
        <v>2.4241309156440731E+24</v>
      </c>
    </row>
    <row r="315" spans="11:15" x14ac:dyDescent="0.3">
      <c r="K315">
        <v>304</v>
      </c>
      <c r="L315" s="6">
        <f t="shared" si="15"/>
        <v>2.6883127028309637E+27</v>
      </c>
      <c r="N315">
        <f t="shared" si="16"/>
        <v>912</v>
      </c>
      <c r="O315">
        <f t="shared" si="17"/>
        <v>2.9477112969637758E+24</v>
      </c>
    </row>
    <row r="316" spans="11:15" x14ac:dyDescent="0.3">
      <c r="K316">
        <v>305</v>
      </c>
      <c r="L316" s="6">
        <f t="shared" si="15"/>
        <v>3.2797414974537754E+27</v>
      </c>
      <c r="N316">
        <f t="shared" si="16"/>
        <v>915</v>
      </c>
      <c r="O316">
        <f t="shared" si="17"/>
        <v>3.5844169371079514E+24</v>
      </c>
    </row>
    <row r="317" spans="11:15" x14ac:dyDescent="0.3">
      <c r="K317">
        <v>306</v>
      </c>
      <c r="L317" s="6">
        <f t="shared" si="15"/>
        <v>4.0012846268936064E+27</v>
      </c>
      <c r="N317">
        <f t="shared" si="16"/>
        <v>918</v>
      </c>
      <c r="O317">
        <f t="shared" si="17"/>
        <v>4.3586978506466301E+24</v>
      </c>
    </row>
    <row r="318" spans="11:15" x14ac:dyDescent="0.3">
      <c r="K318">
        <v>307</v>
      </c>
      <c r="L318" s="6">
        <f t="shared" si="15"/>
        <v>4.8815672448101991E+27</v>
      </c>
      <c r="N318">
        <f t="shared" si="16"/>
        <v>921</v>
      </c>
      <c r="O318">
        <f t="shared" si="17"/>
        <v>5.3002901680892503E+24</v>
      </c>
    </row>
    <row r="319" spans="11:15" x14ac:dyDescent="0.3">
      <c r="K319">
        <v>308</v>
      </c>
      <c r="L319" s="6">
        <f t="shared" si="15"/>
        <v>5.9555120386684425E+27</v>
      </c>
      <c r="N319">
        <f t="shared" si="16"/>
        <v>924</v>
      </c>
      <c r="O319">
        <f t="shared" si="17"/>
        <v>6.445359349208271E+24</v>
      </c>
    </row>
    <row r="320" spans="11:15" x14ac:dyDescent="0.3">
      <c r="K320">
        <v>309</v>
      </c>
      <c r="L320" s="6">
        <f t="shared" si="15"/>
        <v>7.2657246871754992E+27</v>
      </c>
      <c r="N320">
        <f t="shared" si="16"/>
        <v>927</v>
      </c>
      <c r="O320">
        <f t="shared" si="17"/>
        <v>7.8378907089271839E+24</v>
      </c>
    </row>
    <row r="321" spans="11:15" x14ac:dyDescent="0.3">
      <c r="K321">
        <v>310</v>
      </c>
      <c r="L321" s="6">
        <f t="shared" si="15"/>
        <v>8.8641841183541099E+27</v>
      </c>
      <c r="N321">
        <f t="shared" si="16"/>
        <v>930</v>
      </c>
      <c r="O321">
        <f t="shared" si="17"/>
        <v>9.5313807724237745E+24</v>
      </c>
    </row>
    <row r="322" spans="11:15" x14ac:dyDescent="0.3">
      <c r="K322">
        <v>311</v>
      </c>
      <c r="L322" s="6">
        <f t="shared" si="15"/>
        <v>1.0814304624392015E+28</v>
      </c>
      <c r="N322">
        <f t="shared" si="16"/>
        <v>933</v>
      </c>
      <c r="O322">
        <f t="shared" si="17"/>
        <v>1.1590894559905695E+25</v>
      </c>
    </row>
    <row r="323" spans="11:15" x14ac:dyDescent="0.3">
      <c r="K323">
        <v>312</v>
      </c>
      <c r="L323" s="6">
        <f t="shared" si="15"/>
        <v>1.3193451641758257E+28</v>
      </c>
      <c r="N323">
        <f t="shared" si="16"/>
        <v>936</v>
      </c>
      <c r="O323">
        <f t="shared" si="17"/>
        <v>1.4095567993331471E+25</v>
      </c>
    </row>
    <row r="324" spans="11:15" x14ac:dyDescent="0.3">
      <c r="K324">
        <v>313</v>
      </c>
      <c r="L324" s="6">
        <f t="shared" si="15"/>
        <v>1.609601100294507E+28</v>
      </c>
      <c r="N324">
        <f t="shared" si="16"/>
        <v>939</v>
      </c>
      <c r="O324">
        <f t="shared" si="17"/>
        <v>1.7141651760324888E+25</v>
      </c>
    </row>
    <row r="325" spans="11:15" x14ac:dyDescent="0.3">
      <c r="K325">
        <v>314</v>
      </c>
      <c r="L325" s="6">
        <f t="shared" si="15"/>
        <v>1.963713342359299E+28</v>
      </c>
      <c r="N325">
        <f t="shared" si="16"/>
        <v>942</v>
      </c>
      <c r="O325">
        <f t="shared" si="17"/>
        <v>2.0846213825470266E+25</v>
      </c>
    </row>
    <row r="326" spans="11:15" x14ac:dyDescent="0.3">
      <c r="K326">
        <v>315</v>
      </c>
      <c r="L326" s="6">
        <f t="shared" si="15"/>
        <v>2.3957302776783444E+28</v>
      </c>
      <c r="N326">
        <f t="shared" si="16"/>
        <v>945</v>
      </c>
      <c r="O326">
        <f t="shared" si="17"/>
        <v>2.5351643150035391E+25</v>
      </c>
    </row>
    <row r="327" spans="11:15" x14ac:dyDescent="0.3">
      <c r="K327">
        <v>316</v>
      </c>
      <c r="L327" s="6">
        <f t="shared" si="15"/>
        <v>2.9227909387675796E+28</v>
      </c>
      <c r="N327">
        <f t="shared" si="16"/>
        <v>948</v>
      </c>
      <c r="O327">
        <f t="shared" si="17"/>
        <v>3.0831128046071516E+25</v>
      </c>
    </row>
    <row r="328" spans="11:15" x14ac:dyDescent="0.3">
      <c r="K328">
        <v>317</v>
      </c>
      <c r="L328" s="6">
        <f t="shared" si="15"/>
        <v>3.5658049452964471E+28</v>
      </c>
      <c r="N328">
        <f t="shared" si="16"/>
        <v>951</v>
      </c>
      <c r="O328">
        <f t="shared" si="17"/>
        <v>3.7495320139815428E+25</v>
      </c>
    </row>
    <row r="329" spans="11:15" x14ac:dyDescent="0.3">
      <c r="K329">
        <v>318</v>
      </c>
      <c r="L329" s="6">
        <f t="shared" si="15"/>
        <v>4.3502820332616656E+28</v>
      </c>
      <c r="N329">
        <f t="shared" si="16"/>
        <v>954</v>
      </c>
      <c r="O329">
        <f t="shared" si="17"/>
        <v>4.5600440600227105E+25</v>
      </c>
    </row>
    <row r="330" spans="11:15" x14ac:dyDescent="0.3">
      <c r="K330">
        <v>319</v>
      </c>
      <c r="L330" s="6">
        <f t="shared" si="15"/>
        <v>5.3073440805792322E+28</v>
      </c>
      <c r="N330">
        <f t="shared" si="16"/>
        <v>957</v>
      </c>
      <c r="O330">
        <f t="shared" si="17"/>
        <v>5.5458140862896891E+25</v>
      </c>
    </row>
    <row r="331" spans="11:15" x14ac:dyDescent="0.3">
      <c r="K331">
        <v>320</v>
      </c>
      <c r="L331" s="6">
        <f t="shared" si="15"/>
        <v>6.4749597783066612E+28</v>
      </c>
      <c r="N331">
        <f t="shared" si="16"/>
        <v>960</v>
      </c>
      <c r="O331">
        <f t="shared" si="17"/>
        <v>6.7447497690694389E+25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28F1-C508-4E1E-B0E4-97BD04238FFD}">
  <dimension ref="H2:Q331"/>
  <sheetViews>
    <sheetView workbookViewId="0">
      <selection activeCell="I16" sqref="I16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customWidth="1"/>
    <col min="15" max="15" width="24.33203125" customWidth="1"/>
  </cols>
  <sheetData>
    <row r="2" spans="8:17" x14ac:dyDescent="0.3">
      <c r="H2" s="4"/>
    </row>
    <row r="3" spans="8:17" x14ac:dyDescent="0.3">
      <c r="H3" s="4"/>
      <c r="I3" t="s">
        <v>42</v>
      </c>
    </row>
    <row r="4" spans="8:17" x14ac:dyDescent="0.3">
      <c r="H4" s="4"/>
    </row>
    <row r="5" spans="8:17" x14ac:dyDescent="0.3">
      <c r="H5" s="4" t="s">
        <v>30</v>
      </c>
    </row>
    <row r="6" spans="8:17" x14ac:dyDescent="0.3">
      <c r="H6" s="4" t="s">
        <v>31</v>
      </c>
      <c r="I6">
        <v>1250</v>
      </c>
    </row>
    <row r="7" spans="8:17" x14ac:dyDescent="0.3">
      <c r="H7" s="4" t="s">
        <v>32</v>
      </c>
      <c r="I7">
        <v>1.22</v>
      </c>
    </row>
    <row r="8" spans="8:17" x14ac:dyDescent="0.3">
      <c r="H8" s="4" t="s">
        <v>39</v>
      </c>
      <c r="I8">
        <v>25</v>
      </c>
    </row>
    <row r="9" spans="8:17" x14ac:dyDescent="0.3">
      <c r="H9" s="4"/>
    </row>
    <row r="10" spans="8:17" x14ac:dyDescent="0.3">
      <c r="H10" s="4" t="s">
        <v>40</v>
      </c>
      <c r="I10">
        <v>45</v>
      </c>
      <c r="K10" t="s">
        <v>33</v>
      </c>
      <c r="L10" t="s">
        <v>34</v>
      </c>
      <c r="M10" t="s">
        <v>35</v>
      </c>
      <c r="N10" t="s">
        <v>36</v>
      </c>
      <c r="O10" t="s">
        <v>37</v>
      </c>
      <c r="Q10" t="s">
        <v>38</v>
      </c>
    </row>
    <row r="11" spans="8:17" x14ac:dyDescent="0.3">
      <c r="H11" s="4" t="s">
        <v>41</v>
      </c>
      <c r="I11">
        <v>0.1</v>
      </c>
      <c r="K11">
        <v>0</v>
      </c>
      <c r="L11" s="6">
        <f>$I$6*($I$7^K11)</f>
        <v>1250</v>
      </c>
      <c r="N11">
        <f>K11*$I$8</f>
        <v>0</v>
      </c>
      <c r="O11" t="e">
        <f>L11/N11</f>
        <v>#DIV/0!</v>
      </c>
      <c r="Q11">
        <f>K11*$I$11</f>
        <v>0</v>
      </c>
    </row>
    <row r="12" spans="8:17" x14ac:dyDescent="0.3">
      <c r="H12" s="4"/>
      <c r="K12">
        <v>1</v>
      </c>
      <c r="L12" s="6">
        <f t="shared" ref="L12:L75" si="0">$I$6*($I$7^K12)</f>
        <v>1525</v>
      </c>
      <c r="N12">
        <f t="shared" ref="N12:N75" si="1">K12*$I$8</f>
        <v>25</v>
      </c>
      <c r="O12">
        <f t="shared" ref="O12:O74" si="2">L12/N12</f>
        <v>61</v>
      </c>
      <c r="Q12">
        <f t="shared" ref="Q12:Q75" si="3">K12*$I$11</f>
        <v>0.1</v>
      </c>
    </row>
    <row r="13" spans="8:17" x14ac:dyDescent="0.3">
      <c r="H13" s="4"/>
      <c r="K13">
        <v>2</v>
      </c>
      <c r="L13" s="6">
        <f t="shared" si="0"/>
        <v>1860.5</v>
      </c>
      <c r="N13">
        <f t="shared" si="1"/>
        <v>50</v>
      </c>
      <c r="O13">
        <f t="shared" si="2"/>
        <v>37.21</v>
      </c>
      <c r="Q13">
        <f t="shared" si="3"/>
        <v>0.2</v>
      </c>
    </row>
    <row r="14" spans="8:17" x14ac:dyDescent="0.3">
      <c r="H14" s="4"/>
      <c r="K14">
        <v>3</v>
      </c>
      <c r="L14" s="6">
        <f t="shared" si="0"/>
        <v>2269.81</v>
      </c>
      <c r="N14">
        <f t="shared" si="1"/>
        <v>75</v>
      </c>
      <c r="O14">
        <f t="shared" si="2"/>
        <v>30.264133333333334</v>
      </c>
      <c r="Q14">
        <f t="shared" si="3"/>
        <v>0.30000000000000004</v>
      </c>
    </row>
    <row r="15" spans="8:17" x14ac:dyDescent="0.3">
      <c r="H15" s="4"/>
      <c r="K15">
        <v>4</v>
      </c>
      <c r="L15" s="6">
        <f t="shared" si="0"/>
        <v>2769.1681999999996</v>
      </c>
      <c r="N15">
        <f t="shared" si="1"/>
        <v>100</v>
      </c>
      <c r="O15">
        <f t="shared" si="2"/>
        <v>27.691681999999997</v>
      </c>
      <c r="Q15">
        <f t="shared" si="3"/>
        <v>0.4</v>
      </c>
    </row>
    <row r="16" spans="8:17" x14ac:dyDescent="0.3">
      <c r="H16" s="4"/>
      <c r="K16">
        <v>5</v>
      </c>
      <c r="L16" s="6">
        <f t="shared" si="0"/>
        <v>3378.3852039999997</v>
      </c>
      <c r="N16">
        <f t="shared" si="1"/>
        <v>125</v>
      </c>
      <c r="O16">
        <f t="shared" si="2"/>
        <v>27.027081631999998</v>
      </c>
      <c r="Q16">
        <f t="shared" si="3"/>
        <v>0.5</v>
      </c>
    </row>
    <row r="17" spans="8:17" x14ac:dyDescent="0.3">
      <c r="H17" s="4"/>
      <c r="K17">
        <v>6</v>
      </c>
      <c r="L17" s="6">
        <f t="shared" si="0"/>
        <v>4121.6299488799987</v>
      </c>
      <c r="N17">
        <f t="shared" si="1"/>
        <v>150</v>
      </c>
      <c r="O17">
        <f t="shared" si="2"/>
        <v>27.477532992533323</v>
      </c>
      <c r="Q17">
        <f t="shared" si="3"/>
        <v>0.60000000000000009</v>
      </c>
    </row>
    <row r="18" spans="8:17" x14ac:dyDescent="0.3">
      <c r="H18" s="4"/>
      <c r="K18">
        <v>7</v>
      </c>
      <c r="L18" s="6">
        <f t="shared" si="0"/>
        <v>5028.3885376335993</v>
      </c>
      <c r="N18">
        <f t="shared" si="1"/>
        <v>175</v>
      </c>
      <c r="O18">
        <f t="shared" si="2"/>
        <v>28.733648786477712</v>
      </c>
      <c r="Q18">
        <f t="shared" si="3"/>
        <v>0.70000000000000007</v>
      </c>
    </row>
    <row r="19" spans="8:17" x14ac:dyDescent="0.3">
      <c r="H19" s="4"/>
      <c r="K19">
        <v>8</v>
      </c>
      <c r="L19" s="6">
        <f t="shared" si="0"/>
        <v>6134.6340159129895</v>
      </c>
      <c r="N19">
        <f t="shared" si="1"/>
        <v>200</v>
      </c>
      <c r="O19">
        <f t="shared" si="2"/>
        <v>30.673170079564947</v>
      </c>
      <c r="Q19">
        <f t="shared" si="3"/>
        <v>0.8</v>
      </c>
    </row>
    <row r="20" spans="8:17" x14ac:dyDescent="0.3">
      <c r="H20" s="4"/>
      <c r="K20">
        <v>9</v>
      </c>
      <c r="L20" s="6">
        <f t="shared" si="0"/>
        <v>7484.2534994138477</v>
      </c>
      <c r="N20">
        <f t="shared" si="1"/>
        <v>225</v>
      </c>
      <c r="O20">
        <f t="shared" si="2"/>
        <v>33.263348886283765</v>
      </c>
      <c r="Q20">
        <f t="shared" si="3"/>
        <v>0.9</v>
      </c>
    </row>
    <row r="21" spans="8:17" x14ac:dyDescent="0.3">
      <c r="H21" s="4"/>
      <c r="K21">
        <v>10</v>
      </c>
      <c r="L21" s="6">
        <f t="shared" si="0"/>
        <v>9130.7892692848927</v>
      </c>
      <c r="N21">
        <f t="shared" si="1"/>
        <v>250</v>
      </c>
      <c r="O21">
        <f t="shared" si="2"/>
        <v>36.523157077139572</v>
      </c>
      <c r="Q21">
        <f t="shared" si="3"/>
        <v>1</v>
      </c>
    </row>
    <row r="22" spans="8:17" x14ac:dyDescent="0.3">
      <c r="H22" s="4"/>
      <c r="K22">
        <v>11</v>
      </c>
      <c r="L22" s="6">
        <f t="shared" si="0"/>
        <v>11139.562908527569</v>
      </c>
      <c r="N22">
        <f t="shared" si="1"/>
        <v>275</v>
      </c>
      <c r="O22">
        <f>L22/N22</f>
        <v>40.507501485554798</v>
      </c>
      <c r="Q22">
        <f t="shared" si="3"/>
        <v>1.1000000000000001</v>
      </c>
    </row>
    <row r="23" spans="8:17" x14ac:dyDescent="0.3">
      <c r="H23" s="4"/>
      <c r="K23">
        <v>12</v>
      </c>
      <c r="L23" s="6">
        <f t="shared" si="0"/>
        <v>13590.266748403634</v>
      </c>
      <c r="N23">
        <f t="shared" si="1"/>
        <v>300</v>
      </c>
      <c r="O23">
        <f t="shared" si="2"/>
        <v>45.300889161345445</v>
      </c>
      <c r="Q23">
        <f t="shared" si="3"/>
        <v>1.2000000000000002</v>
      </c>
    </row>
    <row r="24" spans="8:17" x14ac:dyDescent="0.3">
      <c r="H24" s="4"/>
      <c r="K24">
        <v>13</v>
      </c>
      <c r="L24" s="6">
        <f t="shared" si="0"/>
        <v>16580.125433052432</v>
      </c>
      <c r="N24">
        <f t="shared" si="1"/>
        <v>325</v>
      </c>
      <c r="O24">
        <f t="shared" si="2"/>
        <v>51.015770563238249</v>
      </c>
      <c r="Q24">
        <f t="shared" si="3"/>
        <v>1.3</v>
      </c>
    </row>
    <row r="25" spans="8:17" x14ac:dyDescent="0.3">
      <c r="H25" s="4"/>
      <c r="K25">
        <v>14</v>
      </c>
      <c r="L25" s="6">
        <f t="shared" si="0"/>
        <v>20227.753028323968</v>
      </c>
      <c r="N25">
        <f t="shared" si="1"/>
        <v>350</v>
      </c>
      <c r="O25">
        <f t="shared" si="2"/>
        <v>57.793580080925622</v>
      </c>
      <c r="Q25">
        <f t="shared" si="3"/>
        <v>1.4000000000000001</v>
      </c>
    </row>
    <row r="26" spans="8:17" x14ac:dyDescent="0.3">
      <c r="H26" s="4"/>
      <c r="K26">
        <v>15</v>
      </c>
      <c r="L26" s="6">
        <f t="shared" si="0"/>
        <v>24677.858694555242</v>
      </c>
      <c r="N26">
        <f t="shared" si="1"/>
        <v>375</v>
      </c>
      <c r="O26">
        <f t="shared" si="2"/>
        <v>65.807623185480651</v>
      </c>
      <c r="Q26">
        <f t="shared" si="3"/>
        <v>1.5</v>
      </c>
    </row>
    <row r="27" spans="8:17" x14ac:dyDescent="0.3">
      <c r="H27" s="4"/>
      <c r="K27">
        <v>16</v>
      </c>
      <c r="L27" s="6">
        <f t="shared" si="0"/>
        <v>30106.987607357391</v>
      </c>
      <c r="N27">
        <f t="shared" si="1"/>
        <v>400</v>
      </c>
      <c r="O27">
        <f t="shared" si="2"/>
        <v>75.26746901839347</v>
      </c>
      <c r="Q27">
        <f t="shared" si="3"/>
        <v>1.6</v>
      </c>
    </row>
    <row r="28" spans="8:17" x14ac:dyDescent="0.3">
      <c r="H28" s="4"/>
      <c r="K28">
        <v>17</v>
      </c>
      <c r="L28" s="6">
        <f t="shared" si="0"/>
        <v>36730.524880976009</v>
      </c>
      <c r="N28">
        <f t="shared" si="1"/>
        <v>425</v>
      </c>
      <c r="O28">
        <f t="shared" si="2"/>
        <v>86.424764425825899</v>
      </c>
      <c r="Q28">
        <f t="shared" si="3"/>
        <v>1.7000000000000002</v>
      </c>
    </row>
    <row r="29" spans="8:17" x14ac:dyDescent="0.3">
      <c r="H29" s="4"/>
      <c r="K29">
        <v>18</v>
      </c>
      <c r="L29" s="6">
        <f t="shared" si="0"/>
        <v>44811.240354790731</v>
      </c>
      <c r="N29">
        <f t="shared" si="1"/>
        <v>450</v>
      </c>
      <c r="O29">
        <f t="shared" si="2"/>
        <v>99.580534121757182</v>
      </c>
      <c r="Q29">
        <f t="shared" si="3"/>
        <v>1.8</v>
      </c>
    </row>
    <row r="30" spans="8:17" x14ac:dyDescent="0.3">
      <c r="H30" s="4"/>
      <c r="K30">
        <v>19</v>
      </c>
      <c r="L30" s="6">
        <f t="shared" si="0"/>
        <v>54669.713232844697</v>
      </c>
      <c r="N30">
        <f t="shared" si="1"/>
        <v>475</v>
      </c>
      <c r="O30">
        <f t="shared" si="2"/>
        <v>115.09413312177831</v>
      </c>
      <c r="Q30">
        <f t="shared" si="3"/>
        <v>1.9000000000000001</v>
      </c>
    </row>
    <row r="31" spans="8:17" x14ac:dyDescent="0.3">
      <c r="H31" s="4"/>
      <c r="K31">
        <v>20</v>
      </c>
      <c r="L31" s="6">
        <f t="shared" si="0"/>
        <v>66697.050144070527</v>
      </c>
      <c r="N31">
        <f t="shared" si="1"/>
        <v>500</v>
      </c>
      <c r="O31">
        <f>L31/N31</f>
        <v>133.39410028814106</v>
      </c>
      <c r="Q31">
        <f t="shared" si="3"/>
        <v>2</v>
      </c>
    </row>
    <row r="32" spans="8:17" x14ac:dyDescent="0.3">
      <c r="H32" s="4"/>
      <c r="K32">
        <v>21</v>
      </c>
      <c r="L32" s="6">
        <f t="shared" si="0"/>
        <v>81370.401175766034</v>
      </c>
      <c r="N32">
        <f t="shared" si="1"/>
        <v>525</v>
      </c>
      <c r="O32">
        <f t="shared" si="2"/>
        <v>154.99124033479245</v>
      </c>
      <c r="Q32">
        <f t="shared" si="3"/>
        <v>2.1</v>
      </c>
    </row>
    <row r="33" spans="8:17" x14ac:dyDescent="0.3">
      <c r="H33" s="4"/>
      <c r="K33">
        <v>22</v>
      </c>
      <c r="L33" s="6">
        <f t="shared" si="0"/>
        <v>99271.889434434561</v>
      </c>
      <c r="N33">
        <f t="shared" si="1"/>
        <v>550</v>
      </c>
      <c r="O33">
        <f t="shared" si="2"/>
        <v>180.49434442624465</v>
      </c>
      <c r="Q33">
        <f t="shared" si="3"/>
        <v>2.2000000000000002</v>
      </c>
    </row>
    <row r="34" spans="8:17" x14ac:dyDescent="0.3">
      <c r="H34" s="4"/>
      <c r="K34">
        <v>23</v>
      </c>
      <c r="L34" s="6">
        <f t="shared" si="0"/>
        <v>121111.70511001017</v>
      </c>
      <c r="N34">
        <f t="shared" si="1"/>
        <v>575</v>
      </c>
      <c r="O34">
        <f t="shared" si="2"/>
        <v>210.62905236523508</v>
      </c>
      <c r="Q34">
        <f t="shared" si="3"/>
        <v>2.3000000000000003</v>
      </c>
    </row>
    <row r="35" spans="8:17" x14ac:dyDescent="0.3">
      <c r="K35">
        <v>24</v>
      </c>
      <c r="L35" s="6">
        <f t="shared" si="0"/>
        <v>147756.28023421238</v>
      </c>
      <c r="N35">
        <f t="shared" si="1"/>
        <v>600</v>
      </c>
      <c r="O35">
        <f t="shared" si="2"/>
        <v>246.26046705702063</v>
      </c>
      <c r="Q35">
        <f t="shared" si="3"/>
        <v>2.4000000000000004</v>
      </c>
    </row>
    <row r="36" spans="8:17" x14ac:dyDescent="0.3">
      <c r="K36">
        <v>25</v>
      </c>
      <c r="L36" s="6">
        <f t="shared" si="0"/>
        <v>180262.6618857391</v>
      </c>
      <c r="N36">
        <f t="shared" si="1"/>
        <v>625</v>
      </c>
      <c r="O36">
        <f t="shared" si="2"/>
        <v>288.42025901718256</v>
      </c>
      <c r="Q36">
        <f t="shared" si="3"/>
        <v>2.5</v>
      </c>
    </row>
    <row r="37" spans="8:17" x14ac:dyDescent="0.3">
      <c r="K37">
        <v>26</v>
      </c>
      <c r="L37" s="6">
        <f t="shared" si="0"/>
        <v>219920.4475006017</v>
      </c>
      <c r="N37">
        <f t="shared" si="1"/>
        <v>650</v>
      </c>
      <c r="O37">
        <f t="shared" si="2"/>
        <v>338.33915000092571</v>
      </c>
      <c r="Q37">
        <f t="shared" si="3"/>
        <v>2.6</v>
      </c>
    </row>
    <row r="38" spans="8:17" x14ac:dyDescent="0.3">
      <c r="K38">
        <v>27</v>
      </c>
      <c r="L38" s="6">
        <f t="shared" si="0"/>
        <v>268302.94595073402</v>
      </c>
      <c r="N38">
        <f t="shared" si="1"/>
        <v>675</v>
      </c>
      <c r="O38">
        <f t="shared" si="2"/>
        <v>397.48584585293929</v>
      </c>
      <c r="Q38">
        <f t="shared" si="3"/>
        <v>2.7</v>
      </c>
    </row>
    <row r="39" spans="8:17" x14ac:dyDescent="0.3">
      <c r="K39">
        <v>28</v>
      </c>
      <c r="L39" s="6">
        <f t="shared" si="0"/>
        <v>327329.59405989555</v>
      </c>
      <c r="N39">
        <f t="shared" si="1"/>
        <v>700</v>
      </c>
      <c r="O39">
        <f t="shared" si="2"/>
        <v>467.61370579985078</v>
      </c>
      <c r="Q39">
        <f t="shared" si="3"/>
        <v>2.8000000000000003</v>
      </c>
    </row>
    <row r="40" spans="8:17" x14ac:dyDescent="0.3">
      <c r="K40">
        <v>29</v>
      </c>
      <c r="L40" s="6">
        <f t="shared" si="0"/>
        <v>399342.10475307255</v>
      </c>
      <c r="N40">
        <f t="shared" si="1"/>
        <v>725</v>
      </c>
      <c r="O40">
        <f t="shared" si="2"/>
        <v>550.81669621113451</v>
      </c>
      <c r="Q40">
        <f t="shared" si="3"/>
        <v>2.9000000000000004</v>
      </c>
    </row>
    <row r="41" spans="8:17" x14ac:dyDescent="0.3">
      <c r="K41">
        <v>30</v>
      </c>
      <c r="L41" s="6">
        <f t="shared" si="0"/>
        <v>487197.36779874843</v>
      </c>
      <c r="N41">
        <f t="shared" si="1"/>
        <v>750</v>
      </c>
      <c r="O41">
        <f t="shared" si="2"/>
        <v>649.59649039833118</v>
      </c>
      <c r="Q41">
        <f t="shared" si="3"/>
        <v>3</v>
      </c>
    </row>
    <row r="42" spans="8:17" x14ac:dyDescent="0.3">
      <c r="K42">
        <v>31</v>
      </c>
      <c r="L42" s="6">
        <f t="shared" si="0"/>
        <v>594380.78871447314</v>
      </c>
      <c r="N42">
        <f t="shared" si="1"/>
        <v>775</v>
      </c>
      <c r="O42">
        <f>L42/N42</f>
        <v>766.94295317996534</v>
      </c>
      <c r="Q42">
        <f t="shared" si="3"/>
        <v>3.1</v>
      </c>
    </row>
    <row r="43" spans="8:17" x14ac:dyDescent="0.3">
      <c r="K43">
        <v>32</v>
      </c>
      <c r="L43" s="6">
        <f t="shared" si="0"/>
        <v>725144.5622316571</v>
      </c>
      <c r="N43">
        <f t="shared" si="1"/>
        <v>800</v>
      </c>
      <c r="O43">
        <f t="shared" si="2"/>
        <v>906.43070278957134</v>
      </c>
      <c r="Q43">
        <f t="shared" si="3"/>
        <v>3.2</v>
      </c>
    </row>
    <row r="44" spans="8:17" x14ac:dyDescent="0.3">
      <c r="K44">
        <v>33</v>
      </c>
      <c r="L44" s="6">
        <f t="shared" si="0"/>
        <v>884676.36592262168</v>
      </c>
      <c r="N44">
        <f t="shared" si="1"/>
        <v>825</v>
      </c>
      <c r="O44">
        <f t="shared" si="2"/>
        <v>1072.3349889971171</v>
      </c>
      <c r="Q44">
        <f t="shared" si="3"/>
        <v>3.3000000000000003</v>
      </c>
    </row>
    <row r="45" spans="8:17" x14ac:dyDescent="0.3">
      <c r="K45">
        <v>34</v>
      </c>
      <c r="L45" s="6">
        <f t="shared" si="0"/>
        <v>1079305.1664255983</v>
      </c>
      <c r="N45">
        <f t="shared" si="1"/>
        <v>850</v>
      </c>
      <c r="O45">
        <f t="shared" si="2"/>
        <v>1269.7707840301157</v>
      </c>
      <c r="Q45">
        <f t="shared" si="3"/>
        <v>3.4000000000000004</v>
      </c>
    </row>
    <row r="46" spans="8:17" x14ac:dyDescent="0.3">
      <c r="K46">
        <v>35</v>
      </c>
      <c r="L46" s="6">
        <f t="shared" si="0"/>
        <v>1316752.3030392299</v>
      </c>
      <c r="N46">
        <f t="shared" si="1"/>
        <v>875</v>
      </c>
      <c r="O46">
        <f t="shared" si="2"/>
        <v>1504.8597749019771</v>
      </c>
      <c r="Q46">
        <f t="shared" si="3"/>
        <v>3.5</v>
      </c>
    </row>
    <row r="47" spans="8:17" x14ac:dyDescent="0.3">
      <c r="K47">
        <v>36</v>
      </c>
      <c r="L47" s="6">
        <f t="shared" si="0"/>
        <v>1606437.8097078605</v>
      </c>
      <c r="N47">
        <f t="shared" si="1"/>
        <v>900</v>
      </c>
      <c r="O47">
        <f t="shared" si="2"/>
        <v>1784.9308996754005</v>
      </c>
      <c r="Q47">
        <f t="shared" si="3"/>
        <v>3.6</v>
      </c>
    </row>
    <row r="48" spans="8:17" x14ac:dyDescent="0.3">
      <c r="K48">
        <v>37</v>
      </c>
      <c r="L48" s="6">
        <f t="shared" si="0"/>
        <v>1959854.1278435898</v>
      </c>
      <c r="N48">
        <f t="shared" si="1"/>
        <v>925</v>
      </c>
      <c r="O48">
        <f t="shared" si="2"/>
        <v>2118.7612192903671</v>
      </c>
      <c r="Q48">
        <f t="shared" si="3"/>
        <v>3.7</v>
      </c>
    </row>
    <row r="49" spans="11:17" x14ac:dyDescent="0.3">
      <c r="K49">
        <v>38</v>
      </c>
      <c r="L49" s="6">
        <f t="shared" si="0"/>
        <v>2391022.0359691791</v>
      </c>
      <c r="N49">
        <f t="shared" si="1"/>
        <v>950</v>
      </c>
      <c r="O49">
        <f>L49/N49</f>
        <v>2516.8653010201883</v>
      </c>
      <c r="Q49">
        <f t="shared" si="3"/>
        <v>3.8000000000000003</v>
      </c>
    </row>
    <row r="50" spans="11:17" x14ac:dyDescent="0.3">
      <c r="K50">
        <v>39</v>
      </c>
      <c r="L50" s="6">
        <f t="shared" si="0"/>
        <v>2917046.8838823992</v>
      </c>
      <c r="N50">
        <f t="shared" si="1"/>
        <v>975</v>
      </c>
      <c r="O50">
        <f t="shared" si="2"/>
        <v>2991.8429578281016</v>
      </c>
      <c r="Q50">
        <f t="shared" si="3"/>
        <v>3.9000000000000004</v>
      </c>
    </row>
    <row r="51" spans="11:17" x14ac:dyDescent="0.3">
      <c r="K51">
        <v>40</v>
      </c>
      <c r="L51" s="6">
        <f t="shared" si="0"/>
        <v>3558797.1983365258</v>
      </c>
      <c r="N51">
        <f t="shared" si="1"/>
        <v>1000</v>
      </c>
      <c r="O51">
        <f t="shared" si="2"/>
        <v>3558.797198336526</v>
      </c>
      <c r="Q51">
        <f t="shared" si="3"/>
        <v>4</v>
      </c>
    </row>
    <row r="52" spans="11:17" x14ac:dyDescent="0.3">
      <c r="K52">
        <v>41</v>
      </c>
      <c r="L52" s="6">
        <f t="shared" si="0"/>
        <v>4341732.5819705613</v>
      </c>
      <c r="N52">
        <f t="shared" si="1"/>
        <v>1025</v>
      </c>
      <c r="O52">
        <f t="shared" si="2"/>
        <v>4235.8366653371331</v>
      </c>
      <c r="Q52">
        <f t="shared" si="3"/>
        <v>4.1000000000000005</v>
      </c>
    </row>
    <row r="53" spans="11:17" x14ac:dyDescent="0.3">
      <c r="K53">
        <v>42</v>
      </c>
      <c r="L53" s="6">
        <f t="shared" si="0"/>
        <v>5296913.7500040848</v>
      </c>
      <c r="N53">
        <f t="shared" si="1"/>
        <v>1050</v>
      </c>
      <c r="O53">
        <f t="shared" si="2"/>
        <v>5044.6797619086519</v>
      </c>
      <c r="Q53">
        <f t="shared" si="3"/>
        <v>4.2</v>
      </c>
    </row>
    <row r="54" spans="11:17" x14ac:dyDescent="0.3">
      <c r="K54">
        <v>43</v>
      </c>
      <c r="L54" s="6">
        <f t="shared" si="0"/>
        <v>6462234.7750049839</v>
      </c>
      <c r="N54">
        <f t="shared" si="1"/>
        <v>1075</v>
      </c>
      <c r="O54">
        <f t="shared" si="2"/>
        <v>6011.3811860511478</v>
      </c>
      <c r="Q54">
        <f t="shared" si="3"/>
        <v>4.3</v>
      </c>
    </row>
    <row r="55" spans="11:17" x14ac:dyDescent="0.3">
      <c r="K55">
        <v>44</v>
      </c>
      <c r="L55" s="6">
        <f t="shared" si="0"/>
        <v>7883926.4255060786</v>
      </c>
      <c r="N55">
        <f t="shared" si="1"/>
        <v>1100</v>
      </c>
      <c r="O55">
        <f t="shared" si="2"/>
        <v>7167.205841369162</v>
      </c>
      <c r="Q55">
        <f t="shared" si="3"/>
        <v>4.4000000000000004</v>
      </c>
    </row>
    <row r="56" spans="11:17" x14ac:dyDescent="0.3">
      <c r="K56">
        <v>45</v>
      </c>
      <c r="L56" s="6">
        <f t="shared" si="0"/>
        <v>9618390.2391174156</v>
      </c>
      <c r="N56">
        <f t="shared" si="1"/>
        <v>1125</v>
      </c>
      <c r="O56">
        <f t="shared" si="2"/>
        <v>8549.6802125488139</v>
      </c>
      <c r="Q56">
        <f t="shared" si="3"/>
        <v>4.5</v>
      </c>
    </row>
    <row r="57" spans="11:17" x14ac:dyDescent="0.3">
      <c r="K57">
        <v>46</v>
      </c>
      <c r="L57" s="6">
        <f t="shared" si="0"/>
        <v>11734436.091723246</v>
      </c>
      <c r="N57">
        <f t="shared" si="1"/>
        <v>1150</v>
      </c>
      <c r="O57">
        <f t="shared" si="2"/>
        <v>10203.857471063693</v>
      </c>
      <c r="Q57">
        <f t="shared" si="3"/>
        <v>4.6000000000000005</v>
      </c>
    </row>
    <row r="58" spans="11:17" x14ac:dyDescent="0.3">
      <c r="K58">
        <v>47</v>
      </c>
      <c r="L58" s="6">
        <f t="shared" si="0"/>
        <v>14316012.031902362</v>
      </c>
      <c r="N58">
        <f t="shared" si="1"/>
        <v>1175</v>
      </c>
      <c r="O58">
        <f t="shared" si="2"/>
        <v>12183.840027150945</v>
      </c>
      <c r="Q58">
        <f t="shared" si="3"/>
        <v>4.7</v>
      </c>
    </row>
    <row r="59" spans="11:17" x14ac:dyDescent="0.3">
      <c r="K59">
        <v>48</v>
      </c>
      <c r="L59" s="6">
        <f t="shared" si="0"/>
        <v>17465534.67892088</v>
      </c>
      <c r="N59">
        <f t="shared" si="1"/>
        <v>1200</v>
      </c>
      <c r="O59">
        <f t="shared" si="2"/>
        <v>14554.612232434067</v>
      </c>
      <c r="Q59">
        <f t="shared" si="3"/>
        <v>4.8000000000000007</v>
      </c>
    </row>
    <row r="60" spans="11:17" x14ac:dyDescent="0.3">
      <c r="K60">
        <v>49</v>
      </c>
      <c r="L60" s="6">
        <f t="shared" si="0"/>
        <v>21307952.308283471</v>
      </c>
      <c r="N60">
        <f t="shared" si="1"/>
        <v>1225</v>
      </c>
      <c r="O60">
        <f>L60/N60</f>
        <v>17394.246782272221</v>
      </c>
      <c r="Q60">
        <f t="shared" si="3"/>
        <v>4.9000000000000004</v>
      </c>
    </row>
    <row r="61" spans="11:17" x14ac:dyDescent="0.3">
      <c r="K61">
        <v>50</v>
      </c>
      <c r="L61" s="6">
        <f t="shared" si="0"/>
        <v>25995701.816105835</v>
      </c>
      <c r="N61">
        <f t="shared" si="1"/>
        <v>1250</v>
      </c>
      <c r="O61">
        <f t="shared" si="2"/>
        <v>20796.561452884667</v>
      </c>
      <c r="Q61">
        <f t="shared" si="3"/>
        <v>5</v>
      </c>
    </row>
    <row r="62" spans="11:17" x14ac:dyDescent="0.3">
      <c r="K62">
        <v>51</v>
      </c>
      <c r="L62" s="6">
        <f t="shared" si="0"/>
        <v>31714756.215649117</v>
      </c>
      <c r="N62">
        <f t="shared" si="1"/>
        <v>1275</v>
      </c>
      <c r="O62">
        <f t="shared" si="2"/>
        <v>24874.318600509112</v>
      </c>
      <c r="Q62">
        <f t="shared" si="3"/>
        <v>5.1000000000000005</v>
      </c>
    </row>
    <row r="63" spans="11:17" x14ac:dyDescent="0.3">
      <c r="K63">
        <v>52</v>
      </c>
      <c r="L63" s="6">
        <f t="shared" si="0"/>
        <v>38692002.583091915</v>
      </c>
      <c r="N63">
        <f t="shared" si="1"/>
        <v>1300</v>
      </c>
      <c r="O63">
        <f t="shared" si="2"/>
        <v>29763.078910070704</v>
      </c>
      <c r="Q63">
        <f t="shared" si="3"/>
        <v>5.2</v>
      </c>
    </row>
    <row r="64" spans="11:17" x14ac:dyDescent="0.3">
      <c r="K64">
        <v>53</v>
      </c>
      <c r="L64" s="6">
        <f t="shared" si="0"/>
        <v>47204243.151372142</v>
      </c>
      <c r="N64">
        <f t="shared" si="1"/>
        <v>1325</v>
      </c>
      <c r="O64">
        <f>L64/N64</f>
        <v>35625.843887828029</v>
      </c>
      <c r="Q64">
        <f t="shared" si="3"/>
        <v>5.3000000000000007</v>
      </c>
    </row>
    <row r="65" spans="11:17" x14ac:dyDescent="0.3">
      <c r="K65">
        <v>54</v>
      </c>
      <c r="L65" s="6">
        <f t="shared" si="0"/>
        <v>57589176.644674011</v>
      </c>
      <c r="N65">
        <f t="shared" si="1"/>
        <v>1350</v>
      </c>
      <c r="O65">
        <f t="shared" si="2"/>
        <v>42658.64936642519</v>
      </c>
      <c r="Q65">
        <f t="shared" si="3"/>
        <v>5.4</v>
      </c>
    </row>
    <row r="66" spans="11:17" x14ac:dyDescent="0.3">
      <c r="K66">
        <v>55</v>
      </c>
      <c r="L66" s="6">
        <f t="shared" si="0"/>
        <v>70258795.506502301</v>
      </c>
      <c r="N66">
        <f t="shared" si="1"/>
        <v>1375</v>
      </c>
      <c r="O66">
        <f t="shared" si="2"/>
        <v>51097.305822910763</v>
      </c>
      <c r="Q66">
        <f t="shared" si="3"/>
        <v>5.5</v>
      </c>
    </row>
    <row r="67" spans="11:17" x14ac:dyDescent="0.3">
      <c r="K67">
        <v>56</v>
      </c>
      <c r="L67" s="6">
        <f t="shared" si="0"/>
        <v>85715730.517932788</v>
      </c>
      <c r="N67">
        <f t="shared" si="1"/>
        <v>1400</v>
      </c>
      <c r="O67">
        <f t="shared" si="2"/>
        <v>61225.521798523419</v>
      </c>
      <c r="Q67">
        <f t="shared" si="3"/>
        <v>5.6000000000000005</v>
      </c>
    </row>
    <row r="68" spans="11:17" x14ac:dyDescent="0.3">
      <c r="K68">
        <v>57</v>
      </c>
      <c r="L68" s="6">
        <f t="shared" si="0"/>
        <v>104573191.231878</v>
      </c>
      <c r="N68">
        <f t="shared" si="1"/>
        <v>1425</v>
      </c>
      <c r="O68">
        <f t="shared" si="2"/>
        <v>73384.695601317886</v>
      </c>
      <c r="Q68">
        <f t="shared" si="3"/>
        <v>5.7</v>
      </c>
    </row>
    <row r="69" spans="11:17" x14ac:dyDescent="0.3">
      <c r="K69">
        <v>58</v>
      </c>
      <c r="L69" s="6">
        <f t="shared" si="0"/>
        <v>127579293.30289117</v>
      </c>
      <c r="N69">
        <f t="shared" si="1"/>
        <v>1450</v>
      </c>
      <c r="O69">
        <f t="shared" si="2"/>
        <v>87985.719519235281</v>
      </c>
      <c r="Q69">
        <f t="shared" si="3"/>
        <v>5.8000000000000007</v>
      </c>
    </row>
    <row r="70" spans="11:17" x14ac:dyDescent="0.3">
      <c r="K70">
        <v>59</v>
      </c>
      <c r="L70" s="6">
        <f t="shared" si="0"/>
        <v>155646737.8295272</v>
      </c>
      <c r="N70">
        <f t="shared" si="1"/>
        <v>1475</v>
      </c>
      <c r="O70">
        <f t="shared" si="2"/>
        <v>105523.21208781505</v>
      </c>
      <c r="Q70">
        <f t="shared" si="3"/>
        <v>5.9</v>
      </c>
    </row>
    <row r="71" spans="11:17" x14ac:dyDescent="0.3">
      <c r="K71">
        <v>60</v>
      </c>
      <c r="L71" s="6">
        <f t="shared" si="0"/>
        <v>189889020.1520232</v>
      </c>
      <c r="N71">
        <f t="shared" si="1"/>
        <v>1500</v>
      </c>
      <c r="O71">
        <f t="shared" si="2"/>
        <v>126592.6801013488</v>
      </c>
      <c r="Q71">
        <f t="shared" si="3"/>
        <v>6</v>
      </c>
    </row>
    <row r="72" spans="11:17" x14ac:dyDescent="0.3">
      <c r="K72">
        <v>61</v>
      </c>
      <c r="L72" s="6">
        <f t="shared" si="0"/>
        <v>231664604.58546826</v>
      </c>
      <c r="N72">
        <f t="shared" si="1"/>
        <v>1525</v>
      </c>
      <c r="O72">
        <f t="shared" si="2"/>
        <v>151911.21612161852</v>
      </c>
      <c r="Q72">
        <f t="shared" si="3"/>
        <v>6.1000000000000005</v>
      </c>
    </row>
    <row r="73" spans="11:17" x14ac:dyDescent="0.3">
      <c r="K73">
        <v>62</v>
      </c>
      <c r="L73" s="6">
        <f t="shared" si="0"/>
        <v>282630817.59427124</v>
      </c>
      <c r="N73">
        <f t="shared" si="1"/>
        <v>1550</v>
      </c>
      <c r="O73">
        <f t="shared" si="2"/>
        <v>182342.46296404596</v>
      </c>
      <c r="Q73">
        <f t="shared" si="3"/>
        <v>6.2</v>
      </c>
    </row>
    <row r="74" spans="11:17" x14ac:dyDescent="0.3">
      <c r="K74">
        <v>63</v>
      </c>
      <c r="L74" s="6">
        <f t="shared" si="0"/>
        <v>344809597.46501094</v>
      </c>
      <c r="N74">
        <f t="shared" si="1"/>
        <v>1575</v>
      </c>
      <c r="O74">
        <f t="shared" si="2"/>
        <v>218926.72854921329</v>
      </c>
      <c r="Q74">
        <f t="shared" si="3"/>
        <v>6.3000000000000007</v>
      </c>
    </row>
    <row r="75" spans="11:17" x14ac:dyDescent="0.3">
      <c r="K75">
        <v>64</v>
      </c>
      <c r="L75" s="6">
        <f t="shared" si="0"/>
        <v>420667708.90731329</v>
      </c>
      <c r="N75">
        <f t="shared" si="1"/>
        <v>1600</v>
      </c>
      <c r="O75">
        <f>L75/N75</f>
        <v>262917.3180670708</v>
      </c>
      <c r="Q75">
        <f t="shared" si="3"/>
        <v>6.4</v>
      </c>
    </row>
    <row r="76" spans="11:17" x14ac:dyDescent="0.3">
      <c r="K76">
        <v>65</v>
      </c>
      <c r="L76" s="6">
        <f t="shared" ref="L76:L139" si="4">$I$6*($I$7^K76)</f>
        <v>513214604.86692214</v>
      </c>
      <c r="N76">
        <f t="shared" ref="N76:N139" si="5">K76*$I$8</f>
        <v>1625</v>
      </c>
      <c r="O76">
        <f t="shared" ref="O76:O77" si="6">L76/N76</f>
        <v>315824.37222579826</v>
      </c>
      <c r="Q76">
        <f t="shared" ref="Q76:Q139" si="7">K76*$I$11</f>
        <v>6.5</v>
      </c>
    </row>
    <row r="77" spans="11:17" x14ac:dyDescent="0.3">
      <c r="K77">
        <v>66</v>
      </c>
      <c r="L77" s="6">
        <f t="shared" si="4"/>
        <v>626121817.93764508</v>
      </c>
      <c r="N77">
        <f t="shared" si="5"/>
        <v>1650</v>
      </c>
      <c r="O77">
        <f t="shared" si="6"/>
        <v>379467.76844705764</v>
      </c>
      <c r="Q77">
        <f t="shared" si="7"/>
        <v>6.6000000000000005</v>
      </c>
    </row>
    <row r="78" spans="11:17" x14ac:dyDescent="0.3">
      <c r="K78">
        <v>67</v>
      </c>
      <c r="L78" s="6">
        <f t="shared" si="4"/>
        <v>763868617.88392687</v>
      </c>
      <c r="N78">
        <f t="shared" si="5"/>
        <v>1675</v>
      </c>
      <c r="O78">
        <f>L78/N78</f>
        <v>456040.96590085188</v>
      </c>
      <c r="Q78">
        <f t="shared" si="7"/>
        <v>6.7</v>
      </c>
    </row>
    <row r="79" spans="11:17" x14ac:dyDescent="0.3">
      <c r="K79">
        <v>68</v>
      </c>
      <c r="L79" s="6">
        <f t="shared" si="4"/>
        <v>931919713.81839073</v>
      </c>
      <c r="N79">
        <f t="shared" si="5"/>
        <v>1700</v>
      </c>
      <c r="O79">
        <f t="shared" ref="O79:O100" si="8">L79/N79</f>
        <v>548188.06695199455</v>
      </c>
      <c r="Q79">
        <f t="shared" si="7"/>
        <v>6.8000000000000007</v>
      </c>
    </row>
    <row r="80" spans="11:17" x14ac:dyDescent="0.3">
      <c r="K80">
        <v>69</v>
      </c>
      <c r="L80" s="6">
        <f t="shared" si="4"/>
        <v>1136942050.8584368</v>
      </c>
      <c r="N80">
        <f t="shared" si="5"/>
        <v>1725</v>
      </c>
      <c r="O80">
        <f t="shared" si="8"/>
        <v>659096.84107735474</v>
      </c>
      <c r="Q80">
        <f t="shared" si="7"/>
        <v>6.9</v>
      </c>
    </row>
    <row r="81" spans="11:17" x14ac:dyDescent="0.3">
      <c r="K81">
        <v>70</v>
      </c>
      <c r="L81" s="6">
        <f t="shared" si="4"/>
        <v>1387069302.0472929</v>
      </c>
      <c r="N81">
        <f t="shared" si="5"/>
        <v>1750</v>
      </c>
      <c r="O81">
        <f t="shared" si="8"/>
        <v>792611.02974131028</v>
      </c>
      <c r="Q81">
        <f t="shared" si="7"/>
        <v>7</v>
      </c>
    </row>
    <row r="82" spans="11:17" x14ac:dyDescent="0.3">
      <c r="K82">
        <v>71</v>
      </c>
      <c r="L82" s="6">
        <f t="shared" si="4"/>
        <v>1692224548.4976971</v>
      </c>
      <c r="N82">
        <f t="shared" si="5"/>
        <v>1775</v>
      </c>
      <c r="O82">
        <f t="shared" si="8"/>
        <v>953365.94281560404</v>
      </c>
      <c r="Q82">
        <f t="shared" si="7"/>
        <v>7.1000000000000005</v>
      </c>
    </row>
    <row r="83" spans="11:17" x14ac:dyDescent="0.3">
      <c r="K83">
        <v>72</v>
      </c>
      <c r="L83" s="6">
        <f t="shared" si="4"/>
        <v>2064513949.1671903</v>
      </c>
      <c r="N83">
        <f t="shared" si="5"/>
        <v>1800</v>
      </c>
      <c r="O83">
        <f t="shared" si="8"/>
        <v>1146952.1939817723</v>
      </c>
      <c r="Q83">
        <f t="shared" si="7"/>
        <v>7.2</v>
      </c>
    </row>
    <row r="84" spans="11:17" x14ac:dyDescent="0.3">
      <c r="K84">
        <v>73</v>
      </c>
      <c r="L84" s="6">
        <f t="shared" si="4"/>
        <v>2518707017.9839725</v>
      </c>
      <c r="N84">
        <f t="shared" si="5"/>
        <v>1825</v>
      </c>
      <c r="O84">
        <f t="shared" si="8"/>
        <v>1380113.4345117658</v>
      </c>
      <c r="Q84">
        <f t="shared" si="7"/>
        <v>7.3000000000000007</v>
      </c>
    </row>
    <row r="85" spans="11:17" x14ac:dyDescent="0.3">
      <c r="K85">
        <v>74</v>
      </c>
      <c r="L85" s="6">
        <f t="shared" si="4"/>
        <v>3072822561.9404459</v>
      </c>
      <c r="N85">
        <f t="shared" si="5"/>
        <v>1850</v>
      </c>
      <c r="O85">
        <f t="shared" si="8"/>
        <v>1660985.1686164571</v>
      </c>
      <c r="Q85">
        <f t="shared" si="7"/>
        <v>7.4</v>
      </c>
    </row>
    <row r="86" spans="11:17" x14ac:dyDescent="0.3">
      <c r="K86">
        <v>75</v>
      </c>
      <c r="L86" s="6">
        <f t="shared" si="4"/>
        <v>3748843525.5673432</v>
      </c>
      <c r="N86">
        <f t="shared" si="5"/>
        <v>1875</v>
      </c>
      <c r="O86">
        <f t="shared" si="8"/>
        <v>1999383.2136359164</v>
      </c>
      <c r="Q86">
        <f t="shared" si="7"/>
        <v>7.5</v>
      </c>
    </row>
    <row r="87" spans="11:17" x14ac:dyDescent="0.3">
      <c r="K87">
        <v>76</v>
      </c>
      <c r="L87" s="6">
        <f t="shared" si="4"/>
        <v>4573589101.1921587</v>
      </c>
      <c r="N87">
        <f t="shared" si="5"/>
        <v>1900</v>
      </c>
      <c r="O87">
        <f t="shared" si="8"/>
        <v>2407152.1585221887</v>
      </c>
      <c r="Q87">
        <f t="shared" si="7"/>
        <v>7.6000000000000005</v>
      </c>
    </row>
    <row r="88" spans="11:17" x14ac:dyDescent="0.3">
      <c r="K88">
        <v>77</v>
      </c>
      <c r="L88" s="6">
        <f t="shared" si="4"/>
        <v>5579778703.4544334</v>
      </c>
      <c r="N88">
        <f t="shared" si="5"/>
        <v>1925</v>
      </c>
      <c r="O88">
        <f t="shared" si="8"/>
        <v>2898586.3394568483</v>
      </c>
      <c r="Q88">
        <f t="shared" si="7"/>
        <v>7.7</v>
      </c>
    </row>
    <row r="89" spans="11:17" x14ac:dyDescent="0.3">
      <c r="K89">
        <v>78</v>
      </c>
      <c r="L89" s="6">
        <f t="shared" si="4"/>
        <v>6807330018.2144089</v>
      </c>
      <c r="N89">
        <f t="shared" si="5"/>
        <v>1950</v>
      </c>
      <c r="O89">
        <f>L89/N89</f>
        <v>3490938.4708791841</v>
      </c>
      <c r="Q89">
        <f t="shared" si="7"/>
        <v>7.8000000000000007</v>
      </c>
    </row>
    <row r="90" spans="11:17" x14ac:dyDescent="0.3">
      <c r="K90">
        <v>79</v>
      </c>
      <c r="L90" s="6">
        <f t="shared" si="4"/>
        <v>8304942622.2215796</v>
      </c>
      <c r="N90">
        <f t="shared" si="5"/>
        <v>1975</v>
      </c>
      <c r="O90">
        <f t="shared" si="8"/>
        <v>4205034.2390995342</v>
      </c>
      <c r="Q90">
        <f t="shared" si="7"/>
        <v>7.9</v>
      </c>
    </row>
    <row r="91" spans="11:17" x14ac:dyDescent="0.3">
      <c r="K91">
        <v>80</v>
      </c>
      <c r="L91" s="6">
        <f t="shared" si="4"/>
        <v>10132029999.110325</v>
      </c>
      <c r="N91">
        <f t="shared" si="5"/>
        <v>2000</v>
      </c>
      <c r="O91">
        <f t="shared" si="8"/>
        <v>5066014.9995551622</v>
      </c>
      <c r="Q91">
        <f t="shared" si="7"/>
        <v>8</v>
      </c>
    </row>
    <row r="92" spans="11:17" x14ac:dyDescent="0.3">
      <c r="K92">
        <v>81</v>
      </c>
      <c r="L92" s="6">
        <f t="shared" si="4"/>
        <v>12361076598.914597</v>
      </c>
      <c r="N92">
        <f t="shared" si="5"/>
        <v>2025</v>
      </c>
      <c r="O92">
        <f t="shared" si="8"/>
        <v>6104235.3574886899</v>
      </c>
      <c r="Q92">
        <f t="shared" si="7"/>
        <v>8.1</v>
      </c>
    </row>
    <row r="93" spans="11:17" x14ac:dyDescent="0.3">
      <c r="K93">
        <v>82</v>
      </c>
      <c r="L93" s="6">
        <f t="shared" si="4"/>
        <v>15080513450.675806</v>
      </c>
      <c r="N93">
        <f t="shared" si="5"/>
        <v>2050</v>
      </c>
      <c r="O93">
        <f t="shared" si="8"/>
        <v>7356348.0247199051</v>
      </c>
      <c r="Q93">
        <f t="shared" si="7"/>
        <v>8.2000000000000011</v>
      </c>
    </row>
    <row r="94" spans="11:17" x14ac:dyDescent="0.3">
      <c r="K94">
        <v>83</v>
      </c>
      <c r="L94" s="6">
        <f t="shared" si="4"/>
        <v>18398226409.824482</v>
      </c>
      <c r="N94">
        <f t="shared" si="5"/>
        <v>2075</v>
      </c>
      <c r="O94">
        <f t="shared" si="8"/>
        <v>8866615.1372648105</v>
      </c>
      <c r="Q94">
        <f t="shared" si="7"/>
        <v>8.3000000000000007</v>
      </c>
    </row>
    <row r="95" spans="11:17" x14ac:dyDescent="0.3">
      <c r="K95">
        <v>84</v>
      </c>
      <c r="L95" s="6">
        <f t="shared" si="4"/>
        <v>22445836219.985867</v>
      </c>
      <c r="N95">
        <f t="shared" si="5"/>
        <v>2100</v>
      </c>
      <c r="O95">
        <f t="shared" si="8"/>
        <v>10688493.438088508</v>
      </c>
      <c r="Q95">
        <f t="shared" si="7"/>
        <v>8.4</v>
      </c>
    </row>
    <row r="96" spans="11:17" x14ac:dyDescent="0.3">
      <c r="K96">
        <v>85</v>
      </c>
      <c r="L96" s="6">
        <f t="shared" si="4"/>
        <v>27383920188.382755</v>
      </c>
      <c r="N96">
        <f t="shared" si="5"/>
        <v>2125</v>
      </c>
      <c r="O96">
        <f t="shared" si="8"/>
        <v>12886550.676886002</v>
      </c>
      <c r="Q96">
        <f t="shared" si="7"/>
        <v>8.5</v>
      </c>
    </row>
    <row r="97" spans="11:17" x14ac:dyDescent="0.3">
      <c r="K97">
        <v>86</v>
      </c>
      <c r="L97" s="6">
        <f t="shared" si="4"/>
        <v>33408382629.826962</v>
      </c>
      <c r="N97">
        <f t="shared" si="5"/>
        <v>2150</v>
      </c>
      <c r="O97">
        <f t="shared" si="8"/>
        <v>15538782.618524168</v>
      </c>
      <c r="Q97">
        <f t="shared" si="7"/>
        <v>8.6</v>
      </c>
    </row>
    <row r="98" spans="11:17" x14ac:dyDescent="0.3">
      <c r="K98">
        <v>87</v>
      </c>
      <c r="L98" s="6">
        <f t="shared" si="4"/>
        <v>40758226808.388901</v>
      </c>
      <c r="N98">
        <f t="shared" si="5"/>
        <v>2175</v>
      </c>
      <c r="O98">
        <f>L98/N98</f>
        <v>18739414.624546621</v>
      </c>
      <c r="Q98">
        <f t="shared" si="7"/>
        <v>8.7000000000000011</v>
      </c>
    </row>
    <row r="99" spans="11:17" x14ac:dyDescent="0.3">
      <c r="K99">
        <v>88</v>
      </c>
      <c r="L99" s="6">
        <f t="shared" si="4"/>
        <v>49725036706.234451</v>
      </c>
      <c r="N99">
        <f t="shared" si="5"/>
        <v>2200</v>
      </c>
      <c r="O99">
        <f t="shared" si="8"/>
        <v>22602289.41192475</v>
      </c>
      <c r="Q99">
        <f t="shared" si="7"/>
        <v>8.8000000000000007</v>
      </c>
    </row>
    <row r="100" spans="11:17" x14ac:dyDescent="0.3">
      <c r="K100">
        <v>89</v>
      </c>
      <c r="L100" s="6">
        <f t="shared" si="4"/>
        <v>60664544781.606033</v>
      </c>
      <c r="N100">
        <f t="shared" si="5"/>
        <v>2225</v>
      </c>
      <c r="O100">
        <f t="shared" si="8"/>
        <v>27264963.946789227</v>
      </c>
      <c r="Q100">
        <f t="shared" si="7"/>
        <v>8.9</v>
      </c>
    </row>
    <row r="101" spans="11:17" x14ac:dyDescent="0.3">
      <c r="K101">
        <v>90</v>
      </c>
      <c r="L101" s="6">
        <f t="shared" si="4"/>
        <v>74010744633.559357</v>
      </c>
      <c r="N101">
        <f t="shared" si="5"/>
        <v>2250</v>
      </c>
      <c r="O101">
        <f>L101/N101</f>
        <v>32893664.281581935</v>
      </c>
      <c r="Q101">
        <f t="shared" si="7"/>
        <v>9</v>
      </c>
    </row>
    <row r="102" spans="11:17" x14ac:dyDescent="0.3">
      <c r="K102">
        <v>91</v>
      </c>
      <c r="L102" s="6">
        <f t="shared" si="4"/>
        <v>90293108452.942383</v>
      </c>
      <c r="N102">
        <f t="shared" si="5"/>
        <v>2275</v>
      </c>
      <c r="O102">
        <f t="shared" ref="O102:O120" si="9">L102/N102</f>
        <v>39689278.440853797</v>
      </c>
      <c r="Q102">
        <f t="shared" si="7"/>
        <v>9.1</v>
      </c>
    </row>
    <row r="103" spans="11:17" x14ac:dyDescent="0.3">
      <c r="K103">
        <v>92</v>
      </c>
      <c r="L103" s="6">
        <f t="shared" si="4"/>
        <v>110157592312.58974</v>
      </c>
      <c r="N103">
        <f t="shared" si="5"/>
        <v>2300</v>
      </c>
      <c r="O103">
        <f t="shared" si="9"/>
        <v>47894605.353299886</v>
      </c>
      <c r="Q103">
        <f t="shared" si="7"/>
        <v>9.2000000000000011</v>
      </c>
    </row>
    <row r="104" spans="11:17" x14ac:dyDescent="0.3">
      <c r="K104">
        <v>93</v>
      </c>
      <c r="L104" s="6">
        <f t="shared" si="4"/>
        <v>134392262621.35945</v>
      </c>
      <c r="N104">
        <f t="shared" si="5"/>
        <v>2325</v>
      </c>
      <c r="O104">
        <f t="shared" si="9"/>
        <v>57803123.708111592</v>
      </c>
      <c r="Q104">
        <f t="shared" si="7"/>
        <v>9.3000000000000007</v>
      </c>
    </row>
    <row r="105" spans="11:17" x14ac:dyDescent="0.3">
      <c r="K105">
        <v>94</v>
      </c>
      <c r="L105" s="6">
        <f t="shared" si="4"/>
        <v>163958560398.05853</v>
      </c>
      <c r="N105">
        <f t="shared" si="5"/>
        <v>2350</v>
      </c>
      <c r="O105">
        <f t="shared" si="9"/>
        <v>69769600.16938661</v>
      </c>
      <c r="Q105">
        <f t="shared" si="7"/>
        <v>9.4</v>
      </c>
    </row>
    <row r="106" spans="11:17" x14ac:dyDescent="0.3">
      <c r="K106">
        <v>95</v>
      </c>
      <c r="L106" s="6">
        <f t="shared" si="4"/>
        <v>200029443685.63141</v>
      </c>
      <c r="N106">
        <f t="shared" si="5"/>
        <v>2375</v>
      </c>
      <c r="O106">
        <f t="shared" si="9"/>
        <v>84222923.657107964</v>
      </c>
      <c r="Q106">
        <f t="shared" si="7"/>
        <v>9.5</v>
      </c>
    </row>
    <row r="107" spans="11:17" x14ac:dyDescent="0.3">
      <c r="K107">
        <v>96</v>
      </c>
      <c r="L107" s="6">
        <f t="shared" si="4"/>
        <v>244035921296.47028</v>
      </c>
      <c r="N107">
        <f t="shared" si="5"/>
        <v>2400</v>
      </c>
      <c r="O107">
        <f t="shared" si="9"/>
        <v>101681633.87352929</v>
      </c>
      <c r="Q107">
        <f t="shared" si="7"/>
        <v>9.6000000000000014</v>
      </c>
    </row>
    <row r="108" spans="11:17" x14ac:dyDescent="0.3">
      <c r="K108">
        <v>97</v>
      </c>
      <c r="L108" s="6">
        <f t="shared" si="4"/>
        <v>297723823981.69379</v>
      </c>
      <c r="N108">
        <f t="shared" si="5"/>
        <v>2425</v>
      </c>
      <c r="O108">
        <f t="shared" si="9"/>
        <v>122772710.9202861</v>
      </c>
      <c r="Q108">
        <f t="shared" si="7"/>
        <v>9.7000000000000011</v>
      </c>
    </row>
    <row r="109" spans="11:17" x14ac:dyDescent="0.3">
      <c r="K109">
        <v>98</v>
      </c>
      <c r="L109" s="6">
        <f t="shared" si="4"/>
        <v>363223065257.66632</v>
      </c>
      <c r="N109">
        <f t="shared" si="5"/>
        <v>2450</v>
      </c>
      <c r="O109">
        <f t="shared" si="9"/>
        <v>148254312.35006788</v>
      </c>
      <c r="Q109">
        <f t="shared" si="7"/>
        <v>9.8000000000000007</v>
      </c>
    </row>
    <row r="110" spans="11:17" x14ac:dyDescent="0.3">
      <c r="K110">
        <v>99</v>
      </c>
      <c r="L110" s="6">
        <f t="shared" si="4"/>
        <v>443132139614.35297</v>
      </c>
      <c r="N110">
        <f t="shared" si="5"/>
        <v>2475</v>
      </c>
      <c r="O110">
        <f t="shared" si="9"/>
        <v>179043288.73307189</v>
      </c>
      <c r="Q110">
        <f t="shared" si="7"/>
        <v>9.9</v>
      </c>
    </row>
    <row r="111" spans="11:17" x14ac:dyDescent="0.3">
      <c r="K111">
        <v>100</v>
      </c>
      <c r="L111" s="6">
        <f t="shared" si="4"/>
        <v>540621210329.51056</v>
      </c>
      <c r="N111">
        <f t="shared" si="5"/>
        <v>2500</v>
      </c>
      <c r="O111">
        <f t="shared" si="9"/>
        <v>216248484.13180423</v>
      </c>
      <c r="Q111">
        <f t="shared" si="7"/>
        <v>10</v>
      </c>
    </row>
    <row r="112" spans="11:17" x14ac:dyDescent="0.3">
      <c r="K112">
        <v>101</v>
      </c>
      <c r="L112" s="6">
        <f t="shared" si="4"/>
        <v>659557876602.00281</v>
      </c>
      <c r="N112">
        <f t="shared" si="5"/>
        <v>2525</v>
      </c>
      <c r="O112">
        <f>L112/N112</f>
        <v>261211040.23841694</v>
      </c>
      <c r="Q112">
        <f t="shared" si="7"/>
        <v>10.100000000000001</v>
      </c>
    </row>
    <row r="113" spans="11:17" x14ac:dyDescent="0.3">
      <c r="K113">
        <v>102</v>
      </c>
      <c r="L113" s="6">
        <f t="shared" si="4"/>
        <v>804660609454.44336</v>
      </c>
      <c r="N113">
        <f t="shared" si="5"/>
        <v>2550</v>
      </c>
      <c r="O113">
        <f t="shared" si="9"/>
        <v>315553180.17821306</v>
      </c>
      <c r="Q113">
        <f t="shared" si="7"/>
        <v>10.200000000000001</v>
      </c>
    </row>
    <row r="114" spans="11:17" x14ac:dyDescent="0.3">
      <c r="K114">
        <v>103</v>
      </c>
      <c r="L114" s="6">
        <f t="shared" si="4"/>
        <v>981685943534.42102</v>
      </c>
      <c r="N114">
        <f t="shared" si="5"/>
        <v>2575</v>
      </c>
      <c r="O114">
        <f t="shared" si="9"/>
        <v>381237259.62501788</v>
      </c>
      <c r="Q114">
        <f t="shared" si="7"/>
        <v>10.3</v>
      </c>
    </row>
    <row r="115" spans="11:17" x14ac:dyDescent="0.3">
      <c r="K115">
        <v>104</v>
      </c>
      <c r="L115" s="6">
        <f t="shared" si="4"/>
        <v>1197656851111.9934</v>
      </c>
      <c r="N115">
        <f t="shared" si="5"/>
        <v>2600</v>
      </c>
      <c r="O115">
        <f t="shared" si="9"/>
        <v>460637250.42768979</v>
      </c>
      <c r="Q115">
        <f t="shared" si="7"/>
        <v>10.4</v>
      </c>
    </row>
    <row r="116" spans="11:17" x14ac:dyDescent="0.3">
      <c r="K116">
        <v>105</v>
      </c>
      <c r="L116" s="6">
        <f t="shared" si="4"/>
        <v>1461141358356.6321</v>
      </c>
      <c r="N116">
        <f t="shared" si="5"/>
        <v>2625</v>
      </c>
      <c r="O116">
        <f t="shared" si="9"/>
        <v>556625279.37395513</v>
      </c>
      <c r="Q116">
        <f t="shared" si="7"/>
        <v>10.5</v>
      </c>
    </row>
    <row r="117" spans="11:17" x14ac:dyDescent="0.3">
      <c r="K117">
        <v>106</v>
      </c>
      <c r="L117" s="6">
        <f t="shared" si="4"/>
        <v>1782592457195.0906</v>
      </c>
      <c r="N117">
        <f t="shared" si="5"/>
        <v>2650</v>
      </c>
      <c r="O117">
        <f t="shared" si="9"/>
        <v>672676398.94154358</v>
      </c>
      <c r="Q117">
        <f t="shared" si="7"/>
        <v>10.600000000000001</v>
      </c>
    </row>
    <row r="118" spans="11:17" x14ac:dyDescent="0.3">
      <c r="K118">
        <v>107</v>
      </c>
      <c r="L118" s="6">
        <f t="shared" si="4"/>
        <v>2174762797778.011</v>
      </c>
      <c r="N118">
        <f t="shared" si="5"/>
        <v>2675</v>
      </c>
      <c r="O118">
        <f t="shared" si="9"/>
        <v>812995438.42168629</v>
      </c>
      <c r="Q118">
        <f t="shared" si="7"/>
        <v>10.700000000000001</v>
      </c>
    </row>
    <row r="119" spans="11:17" x14ac:dyDescent="0.3">
      <c r="K119">
        <v>108</v>
      </c>
      <c r="L119" s="6">
        <f t="shared" si="4"/>
        <v>2653210613289.1729</v>
      </c>
      <c r="N119">
        <f t="shared" si="5"/>
        <v>2700</v>
      </c>
      <c r="O119">
        <f t="shared" si="9"/>
        <v>982670597.51450849</v>
      </c>
      <c r="Q119">
        <f t="shared" si="7"/>
        <v>10.8</v>
      </c>
    </row>
    <row r="120" spans="11:17" x14ac:dyDescent="0.3">
      <c r="K120">
        <v>109</v>
      </c>
      <c r="L120" s="6">
        <f t="shared" si="4"/>
        <v>3236916948212.791</v>
      </c>
      <c r="N120">
        <f t="shared" si="5"/>
        <v>2725</v>
      </c>
      <c r="O120">
        <f t="shared" si="9"/>
        <v>1187859430.536804</v>
      </c>
      <c r="Q120">
        <f t="shared" si="7"/>
        <v>10.9</v>
      </c>
    </row>
    <row r="121" spans="11:17" x14ac:dyDescent="0.3">
      <c r="K121">
        <v>110</v>
      </c>
      <c r="L121" s="6">
        <f t="shared" si="4"/>
        <v>3949038676819.6045</v>
      </c>
      <c r="N121">
        <f t="shared" si="5"/>
        <v>2750</v>
      </c>
      <c r="O121">
        <f>L121/N121</f>
        <v>1436014064.298038</v>
      </c>
      <c r="Q121">
        <f t="shared" si="7"/>
        <v>11</v>
      </c>
    </row>
    <row r="122" spans="11:17" x14ac:dyDescent="0.3">
      <c r="K122">
        <v>111</v>
      </c>
      <c r="L122" s="6">
        <f t="shared" si="4"/>
        <v>4817827185719.918</v>
      </c>
      <c r="N122">
        <f t="shared" si="5"/>
        <v>2775</v>
      </c>
      <c r="O122">
        <f t="shared" ref="O122:O142" si="10">L122/N122</f>
        <v>1736153940.7999704</v>
      </c>
      <c r="Q122">
        <f t="shared" si="7"/>
        <v>11.100000000000001</v>
      </c>
    </row>
    <row r="123" spans="11:17" x14ac:dyDescent="0.3">
      <c r="K123">
        <v>112</v>
      </c>
      <c r="L123" s="6">
        <f t="shared" si="4"/>
        <v>5877749166578.2988</v>
      </c>
      <c r="N123">
        <f t="shared" si="5"/>
        <v>2800</v>
      </c>
      <c r="O123">
        <f t="shared" si="10"/>
        <v>2099196130.920821</v>
      </c>
      <c r="Q123">
        <f t="shared" si="7"/>
        <v>11.200000000000001</v>
      </c>
    </row>
    <row r="124" spans="11:17" x14ac:dyDescent="0.3">
      <c r="K124">
        <v>113</v>
      </c>
      <c r="L124" s="6">
        <f t="shared" si="4"/>
        <v>7170853983225.5244</v>
      </c>
      <c r="N124">
        <f t="shared" si="5"/>
        <v>2825</v>
      </c>
      <c r="O124">
        <f t="shared" si="10"/>
        <v>2538355392.2922211</v>
      </c>
      <c r="Q124">
        <f t="shared" si="7"/>
        <v>11.3</v>
      </c>
    </row>
    <row r="125" spans="11:17" x14ac:dyDescent="0.3">
      <c r="K125">
        <v>114</v>
      </c>
      <c r="L125" s="6">
        <f t="shared" si="4"/>
        <v>8748441859535.1396</v>
      </c>
      <c r="N125">
        <f t="shared" si="5"/>
        <v>2850</v>
      </c>
      <c r="O125">
        <f t="shared" si="10"/>
        <v>3069628722.6439085</v>
      </c>
      <c r="Q125">
        <f t="shared" si="7"/>
        <v>11.4</v>
      </c>
    </row>
    <row r="126" spans="11:17" x14ac:dyDescent="0.3">
      <c r="K126">
        <v>115</v>
      </c>
      <c r="L126" s="6">
        <f t="shared" si="4"/>
        <v>10673099068632.869</v>
      </c>
      <c r="N126">
        <f t="shared" si="5"/>
        <v>2875</v>
      </c>
      <c r="O126">
        <f t="shared" si="10"/>
        <v>3712382284.7418675</v>
      </c>
      <c r="Q126">
        <f t="shared" si="7"/>
        <v>11.5</v>
      </c>
    </row>
    <row r="127" spans="11:17" x14ac:dyDescent="0.3">
      <c r="K127">
        <v>116</v>
      </c>
      <c r="L127" s="6">
        <f t="shared" si="4"/>
        <v>13021180863732.1</v>
      </c>
      <c r="N127">
        <f t="shared" si="5"/>
        <v>2900</v>
      </c>
      <c r="O127">
        <f t="shared" si="10"/>
        <v>4490062366.8041725</v>
      </c>
      <c r="Q127">
        <f t="shared" si="7"/>
        <v>11.600000000000001</v>
      </c>
    </row>
    <row r="128" spans="11:17" x14ac:dyDescent="0.3">
      <c r="K128">
        <v>117</v>
      </c>
      <c r="L128" s="6">
        <f t="shared" si="4"/>
        <v>15885840653753.162</v>
      </c>
      <c r="N128">
        <f t="shared" si="5"/>
        <v>2925</v>
      </c>
      <c r="O128">
        <f t="shared" si="10"/>
        <v>5431056633.7617645</v>
      </c>
      <c r="Q128">
        <f t="shared" si="7"/>
        <v>11.700000000000001</v>
      </c>
    </row>
    <row r="129" spans="11:17" x14ac:dyDescent="0.3">
      <c r="K129">
        <v>118</v>
      </c>
      <c r="L129" s="6">
        <f t="shared" si="4"/>
        <v>19380725597578.855</v>
      </c>
      <c r="N129">
        <f t="shared" si="5"/>
        <v>2950</v>
      </c>
      <c r="O129">
        <f t="shared" si="10"/>
        <v>6569737490.7046967</v>
      </c>
      <c r="Q129">
        <f t="shared" si="7"/>
        <v>11.8</v>
      </c>
    </row>
    <row r="130" spans="11:17" x14ac:dyDescent="0.3">
      <c r="K130">
        <v>119</v>
      </c>
      <c r="L130" s="6">
        <f t="shared" si="4"/>
        <v>23644485229046.207</v>
      </c>
      <c r="N130">
        <f t="shared" si="5"/>
        <v>2975</v>
      </c>
      <c r="O130">
        <f t="shared" si="10"/>
        <v>7947726127.41049</v>
      </c>
      <c r="Q130">
        <f t="shared" si="7"/>
        <v>11.9</v>
      </c>
    </row>
    <row r="131" spans="11:17" x14ac:dyDescent="0.3">
      <c r="K131">
        <v>120</v>
      </c>
      <c r="L131" s="6">
        <f t="shared" si="4"/>
        <v>28846271979436.367</v>
      </c>
      <c r="N131">
        <f t="shared" si="5"/>
        <v>3000</v>
      </c>
      <c r="O131">
        <f t="shared" si="10"/>
        <v>9615423993.1454563</v>
      </c>
      <c r="Q131">
        <f t="shared" si="7"/>
        <v>12</v>
      </c>
    </row>
    <row r="132" spans="11:17" x14ac:dyDescent="0.3">
      <c r="K132">
        <v>121</v>
      </c>
      <c r="L132" s="6">
        <f t="shared" si="4"/>
        <v>35192451814912.367</v>
      </c>
      <c r="N132">
        <f t="shared" si="5"/>
        <v>3025</v>
      </c>
      <c r="O132">
        <f>L132/N132</f>
        <v>11633868368.566072</v>
      </c>
      <c r="Q132">
        <f t="shared" si="7"/>
        <v>12.100000000000001</v>
      </c>
    </row>
    <row r="133" spans="11:17" x14ac:dyDescent="0.3">
      <c r="K133">
        <v>122</v>
      </c>
      <c r="L133" s="6">
        <f t="shared" si="4"/>
        <v>42934791214193.094</v>
      </c>
      <c r="N133">
        <f t="shared" si="5"/>
        <v>3050</v>
      </c>
      <c r="O133">
        <f t="shared" si="10"/>
        <v>14076980725.964949</v>
      </c>
      <c r="Q133">
        <f t="shared" si="7"/>
        <v>12.200000000000001</v>
      </c>
    </row>
    <row r="134" spans="11:17" x14ac:dyDescent="0.3">
      <c r="K134">
        <v>123</v>
      </c>
      <c r="L134" s="6">
        <f t="shared" si="4"/>
        <v>52380445281315.563</v>
      </c>
      <c r="N134">
        <f t="shared" si="5"/>
        <v>3075</v>
      </c>
      <c r="O134">
        <f t="shared" si="10"/>
        <v>17034291148.395306</v>
      </c>
      <c r="Q134">
        <f t="shared" si="7"/>
        <v>12.3</v>
      </c>
    </row>
    <row r="135" spans="11:17" x14ac:dyDescent="0.3">
      <c r="K135">
        <v>124</v>
      </c>
      <c r="L135" s="6">
        <f t="shared" si="4"/>
        <v>63904143243204.984</v>
      </c>
      <c r="N135">
        <f t="shared" si="5"/>
        <v>3100</v>
      </c>
      <c r="O135">
        <f t="shared" si="10"/>
        <v>20614239755.872574</v>
      </c>
      <c r="Q135">
        <f t="shared" si="7"/>
        <v>12.4</v>
      </c>
    </row>
    <row r="136" spans="11:17" x14ac:dyDescent="0.3">
      <c r="K136">
        <v>125</v>
      </c>
      <c r="L136" s="6">
        <f t="shared" si="4"/>
        <v>77963054756710.078</v>
      </c>
      <c r="N136">
        <f t="shared" si="5"/>
        <v>3125</v>
      </c>
      <c r="O136">
        <f t="shared" si="10"/>
        <v>24948177522.147224</v>
      </c>
      <c r="Q136">
        <f t="shared" si="7"/>
        <v>12.5</v>
      </c>
    </row>
    <row r="137" spans="11:17" x14ac:dyDescent="0.3">
      <c r="K137">
        <v>126</v>
      </c>
      <c r="L137" s="6">
        <f t="shared" si="4"/>
        <v>95114926803186.281</v>
      </c>
      <c r="N137">
        <f t="shared" si="5"/>
        <v>3150</v>
      </c>
      <c r="O137">
        <f t="shared" si="10"/>
        <v>30195214858.154373</v>
      </c>
      <c r="Q137">
        <f t="shared" si="7"/>
        <v>12.600000000000001</v>
      </c>
    </row>
    <row r="138" spans="11:17" x14ac:dyDescent="0.3">
      <c r="K138">
        <v>127</v>
      </c>
      <c r="L138" s="6">
        <f t="shared" si="4"/>
        <v>116040210699887.28</v>
      </c>
      <c r="N138">
        <f t="shared" si="5"/>
        <v>3175</v>
      </c>
      <c r="O138">
        <f t="shared" si="10"/>
        <v>36548097858.232216</v>
      </c>
      <c r="Q138">
        <f t="shared" si="7"/>
        <v>12.700000000000001</v>
      </c>
    </row>
    <row r="139" spans="11:17" x14ac:dyDescent="0.3">
      <c r="K139">
        <v>128</v>
      </c>
      <c r="L139" s="6">
        <f t="shared" si="4"/>
        <v>141569057053862.47</v>
      </c>
      <c r="N139">
        <f t="shared" si="5"/>
        <v>3200</v>
      </c>
      <c r="O139">
        <f t="shared" si="10"/>
        <v>44240330329.332024</v>
      </c>
      <c r="Q139">
        <f t="shared" si="7"/>
        <v>12.8</v>
      </c>
    </row>
    <row r="140" spans="11:17" x14ac:dyDescent="0.3">
      <c r="K140">
        <v>129</v>
      </c>
      <c r="L140" s="6">
        <f t="shared" ref="L140:L203" si="11">$I$6*($I$7^K140)</f>
        <v>172714249605712.22</v>
      </c>
      <c r="N140">
        <f t="shared" ref="N140:N203" si="12">K140*$I$8</f>
        <v>3225</v>
      </c>
      <c r="O140">
        <f t="shared" si="10"/>
        <v>53554806079.290611</v>
      </c>
      <c r="Q140">
        <f t="shared" ref="Q140:Q203" si="13">K140*$I$11</f>
        <v>12.9</v>
      </c>
    </row>
    <row r="141" spans="11:17" x14ac:dyDescent="0.3">
      <c r="K141">
        <v>130</v>
      </c>
      <c r="L141" s="6">
        <f t="shared" si="11"/>
        <v>210711384518968.88</v>
      </c>
      <c r="N141">
        <f t="shared" si="12"/>
        <v>3250</v>
      </c>
      <c r="O141">
        <f>L141/N141</f>
        <v>64834272159.682732</v>
      </c>
      <c r="Q141">
        <f t="shared" si="13"/>
        <v>13</v>
      </c>
    </row>
    <row r="142" spans="11:17" x14ac:dyDescent="0.3">
      <c r="K142">
        <v>131</v>
      </c>
      <c r="L142" s="6">
        <f t="shared" si="11"/>
        <v>257067889113142</v>
      </c>
      <c r="N142">
        <f t="shared" si="12"/>
        <v>3275</v>
      </c>
      <c r="O142">
        <f t="shared" si="10"/>
        <v>78494011942.944122</v>
      </c>
      <c r="Q142">
        <f t="shared" si="13"/>
        <v>13.100000000000001</v>
      </c>
    </row>
    <row r="143" spans="11:17" x14ac:dyDescent="0.3">
      <c r="K143">
        <v>132</v>
      </c>
      <c r="L143" s="6">
        <f t="shared" si="11"/>
        <v>313622824718033.19</v>
      </c>
      <c r="N143">
        <f t="shared" si="12"/>
        <v>3300</v>
      </c>
      <c r="O143">
        <f>L143/N143</f>
        <v>95037219611.525208</v>
      </c>
      <c r="Q143">
        <f t="shared" si="13"/>
        <v>13.200000000000001</v>
      </c>
    </row>
    <row r="144" spans="11:17" x14ac:dyDescent="0.3">
      <c r="K144">
        <v>133</v>
      </c>
      <c r="L144" s="6">
        <f t="shared" si="11"/>
        <v>382619846156000.5</v>
      </c>
      <c r="N144">
        <f t="shared" si="12"/>
        <v>3325</v>
      </c>
      <c r="O144">
        <f t="shared" ref="O144:O207" si="14">L144/N144</f>
        <v>115073637941.65428</v>
      </c>
      <c r="Q144">
        <f t="shared" si="13"/>
        <v>13.3</v>
      </c>
    </row>
    <row r="145" spans="11:17" x14ac:dyDescent="0.3">
      <c r="K145">
        <v>134</v>
      </c>
      <c r="L145" s="6">
        <f t="shared" si="11"/>
        <v>466796212310320.69</v>
      </c>
      <c r="N145">
        <f t="shared" si="12"/>
        <v>3350</v>
      </c>
      <c r="O145">
        <f t="shared" si="14"/>
        <v>139342152928.45395</v>
      </c>
      <c r="Q145">
        <f t="shared" si="13"/>
        <v>13.4</v>
      </c>
    </row>
    <row r="146" spans="11:17" x14ac:dyDescent="0.3">
      <c r="K146">
        <v>135</v>
      </c>
      <c r="L146" s="6">
        <f t="shared" si="11"/>
        <v>569491379018591.13</v>
      </c>
      <c r="N146">
        <f t="shared" si="12"/>
        <v>3375</v>
      </c>
      <c r="O146">
        <f t="shared" si="14"/>
        <v>168738186375.87885</v>
      </c>
      <c r="Q146">
        <f t="shared" si="13"/>
        <v>13.5</v>
      </c>
    </row>
    <row r="147" spans="11:17" x14ac:dyDescent="0.3">
      <c r="K147">
        <v>136</v>
      </c>
      <c r="L147" s="6">
        <f t="shared" si="11"/>
        <v>694779482402681.13</v>
      </c>
      <c r="N147">
        <f t="shared" si="12"/>
        <v>3400</v>
      </c>
      <c r="O147">
        <f t="shared" si="14"/>
        <v>204346906589.02386</v>
      </c>
      <c r="Q147">
        <f t="shared" si="13"/>
        <v>13.600000000000001</v>
      </c>
    </row>
    <row r="148" spans="11:17" x14ac:dyDescent="0.3">
      <c r="K148">
        <v>137</v>
      </c>
      <c r="L148" s="6">
        <f t="shared" si="11"/>
        <v>847630968531271</v>
      </c>
      <c r="N148">
        <f t="shared" si="12"/>
        <v>3425</v>
      </c>
      <c r="O148">
        <f t="shared" si="14"/>
        <v>247483494461.68497</v>
      </c>
      <c r="Q148">
        <f t="shared" si="13"/>
        <v>13.700000000000001</v>
      </c>
    </row>
    <row r="149" spans="11:17" x14ac:dyDescent="0.3">
      <c r="K149">
        <v>138</v>
      </c>
      <c r="L149" s="6">
        <f t="shared" si="11"/>
        <v>1034109781608150.5</v>
      </c>
      <c r="N149">
        <f t="shared" si="12"/>
        <v>3450</v>
      </c>
      <c r="O149">
        <f t="shared" si="14"/>
        <v>299741965683.52191</v>
      </c>
      <c r="Q149">
        <f t="shared" si="13"/>
        <v>13.8</v>
      </c>
    </row>
    <row r="150" spans="11:17" x14ac:dyDescent="0.3">
      <c r="K150">
        <v>139</v>
      </c>
      <c r="L150" s="6">
        <f t="shared" si="11"/>
        <v>1261613933561943.5</v>
      </c>
      <c r="N150">
        <f t="shared" si="12"/>
        <v>3475</v>
      </c>
      <c r="O150">
        <f t="shared" si="14"/>
        <v>363054369370.34344</v>
      </c>
      <c r="Q150">
        <f t="shared" si="13"/>
        <v>13.9</v>
      </c>
    </row>
    <row r="151" spans="11:17" x14ac:dyDescent="0.3">
      <c r="K151">
        <v>140</v>
      </c>
      <c r="L151" s="6">
        <f t="shared" si="11"/>
        <v>1539168998945571.3</v>
      </c>
      <c r="N151">
        <f t="shared" si="12"/>
        <v>3500</v>
      </c>
      <c r="O151">
        <f t="shared" si="14"/>
        <v>439762571127.30609</v>
      </c>
      <c r="Q151">
        <f t="shared" si="13"/>
        <v>14</v>
      </c>
    </row>
    <row r="152" spans="11:17" x14ac:dyDescent="0.3">
      <c r="K152">
        <v>141</v>
      </c>
      <c r="L152" s="6">
        <f t="shared" si="11"/>
        <v>1877786178713596.8</v>
      </c>
      <c r="N152">
        <f t="shared" si="12"/>
        <v>3525</v>
      </c>
      <c r="O152">
        <f t="shared" si="14"/>
        <v>532705298925.84308</v>
      </c>
      <c r="Q152">
        <f t="shared" si="13"/>
        <v>14.100000000000001</v>
      </c>
    </row>
    <row r="153" spans="11:17" x14ac:dyDescent="0.3">
      <c r="K153">
        <v>142</v>
      </c>
      <c r="L153" s="6">
        <f t="shared" si="11"/>
        <v>2290899138030588</v>
      </c>
      <c r="N153">
        <f t="shared" si="12"/>
        <v>3550</v>
      </c>
      <c r="O153">
        <f t="shared" si="14"/>
        <v>645323700853.68677</v>
      </c>
      <c r="Q153">
        <f t="shared" si="13"/>
        <v>14.200000000000001</v>
      </c>
    </row>
    <row r="154" spans="11:17" x14ac:dyDescent="0.3">
      <c r="K154">
        <v>143</v>
      </c>
      <c r="L154" s="6">
        <f t="shared" si="11"/>
        <v>2794896948397317.5</v>
      </c>
      <c r="N154">
        <f t="shared" si="12"/>
        <v>3575</v>
      </c>
      <c r="O154">
        <f>L154/N154</f>
        <v>781789356195.05383</v>
      </c>
      <c r="Q154">
        <f t="shared" si="13"/>
        <v>14.3</v>
      </c>
    </row>
    <row r="155" spans="11:17" x14ac:dyDescent="0.3">
      <c r="K155">
        <v>144</v>
      </c>
      <c r="L155" s="6">
        <f t="shared" si="11"/>
        <v>3409774277044726.5</v>
      </c>
      <c r="N155">
        <f t="shared" si="12"/>
        <v>3600</v>
      </c>
      <c r="O155">
        <f t="shared" si="14"/>
        <v>947159521401.31287</v>
      </c>
      <c r="Q155">
        <f t="shared" si="13"/>
        <v>14.4</v>
      </c>
    </row>
    <row r="156" spans="11:17" x14ac:dyDescent="0.3">
      <c r="K156">
        <v>145</v>
      </c>
      <c r="L156" s="6">
        <f t="shared" si="11"/>
        <v>4159924617994566</v>
      </c>
      <c r="N156">
        <f t="shared" si="12"/>
        <v>3625</v>
      </c>
      <c r="O156">
        <f t="shared" si="14"/>
        <v>1147565411860.5698</v>
      </c>
      <c r="Q156">
        <f t="shared" si="13"/>
        <v>14.5</v>
      </c>
    </row>
    <row r="157" spans="11:17" x14ac:dyDescent="0.3">
      <c r="K157">
        <v>146</v>
      </c>
      <c r="L157" s="6">
        <f t="shared" si="11"/>
        <v>5075108033953370</v>
      </c>
      <c r="N157">
        <f t="shared" si="12"/>
        <v>3650</v>
      </c>
      <c r="O157">
        <f t="shared" si="14"/>
        <v>1390440557247.4985</v>
      </c>
      <c r="Q157">
        <f t="shared" si="13"/>
        <v>14.600000000000001</v>
      </c>
    </row>
    <row r="158" spans="11:17" x14ac:dyDescent="0.3">
      <c r="K158">
        <v>147</v>
      </c>
      <c r="L158" s="6">
        <f t="shared" si="11"/>
        <v>6191631801423112</v>
      </c>
      <c r="N158">
        <f t="shared" si="12"/>
        <v>3675</v>
      </c>
      <c r="O158">
        <f t="shared" si="14"/>
        <v>1684797769094.7244</v>
      </c>
      <c r="Q158">
        <f t="shared" si="13"/>
        <v>14.700000000000001</v>
      </c>
    </row>
    <row r="159" spans="11:17" x14ac:dyDescent="0.3">
      <c r="K159">
        <v>148</v>
      </c>
      <c r="L159" s="6">
        <f t="shared" si="11"/>
        <v>7553790797736196</v>
      </c>
      <c r="N159">
        <f t="shared" si="12"/>
        <v>3700</v>
      </c>
      <c r="O159">
        <f t="shared" si="14"/>
        <v>2041565080469.2422</v>
      </c>
      <c r="Q159">
        <f t="shared" si="13"/>
        <v>14.8</v>
      </c>
    </row>
    <row r="160" spans="11:17" x14ac:dyDescent="0.3">
      <c r="K160">
        <v>149</v>
      </c>
      <c r="L160" s="6">
        <f t="shared" si="11"/>
        <v>9215624773238160</v>
      </c>
      <c r="N160">
        <f t="shared" si="12"/>
        <v>3725</v>
      </c>
      <c r="O160">
        <f t="shared" si="14"/>
        <v>2473993227714.9424</v>
      </c>
      <c r="Q160">
        <f t="shared" si="13"/>
        <v>14.9</v>
      </c>
    </row>
    <row r="161" spans="11:17" x14ac:dyDescent="0.3">
      <c r="K161">
        <v>150</v>
      </c>
      <c r="L161" s="6">
        <f t="shared" si="11"/>
        <v>1.1243062223350554E+16</v>
      </c>
      <c r="N161">
        <f t="shared" si="12"/>
        <v>3750</v>
      </c>
      <c r="O161">
        <f t="shared" si="14"/>
        <v>2998149926226.8145</v>
      </c>
      <c r="Q161">
        <f t="shared" si="13"/>
        <v>15</v>
      </c>
    </row>
    <row r="162" spans="11:17" x14ac:dyDescent="0.3">
      <c r="K162">
        <v>151</v>
      </c>
      <c r="L162" s="6">
        <f t="shared" si="11"/>
        <v>1.3716535912487676E+16</v>
      </c>
      <c r="N162">
        <f t="shared" si="12"/>
        <v>3775</v>
      </c>
      <c r="O162">
        <f t="shared" si="14"/>
        <v>3633519447016.603</v>
      </c>
      <c r="Q162">
        <f t="shared" si="13"/>
        <v>15.100000000000001</v>
      </c>
    </row>
    <row r="163" spans="11:17" x14ac:dyDescent="0.3">
      <c r="K163">
        <v>152</v>
      </c>
      <c r="L163" s="6">
        <f t="shared" si="11"/>
        <v>1.673417381323496E+16</v>
      </c>
      <c r="N163">
        <f t="shared" si="12"/>
        <v>3800</v>
      </c>
      <c r="O163">
        <f t="shared" si="14"/>
        <v>4403729950851.3057</v>
      </c>
      <c r="Q163">
        <f t="shared" si="13"/>
        <v>15.200000000000001</v>
      </c>
    </row>
    <row r="164" spans="11:17" x14ac:dyDescent="0.3">
      <c r="K164">
        <v>153</v>
      </c>
      <c r="L164" s="6">
        <f t="shared" si="11"/>
        <v>2.0415692052146652E+16</v>
      </c>
      <c r="N164">
        <f t="shared" si="12"/>
        <v>3825</v>
      </c>
      <c r="O164">
        <f t="shared" si="14"/>
        <v>5337435830626.5762</v>
      </c>
      <c r="Q164">
        <f t="shared" si="13"/>
        <v>15.3</v>
      </c>
    </row>
    <row r="165" spans="11:17" x14ac:dyDescent="0.3">
      <c r="K165">
        <v>154</v>
      </c>
      <c r="L165" s="6">
        <f t="shared" si="11"/>
        <v>2.4907144303618916E+16</v>
      </c>
      <c r="N165">
        <f t="shared" si="12"/>
        <v>3850</v>
      </c>
      <c r="O165">
        <f t="shared" si="14"/>
        <v>6469388130810.1084</v>
      </c>
      <c r="Q165">
        <f t="shared" si="13"/>
        <v>15.4</v>
      </c>
    </row>
    <row r="166" spans="11:17" x14ac:dyDescent="0.3">
      <c r="K166">
        <v>155</v>
      </c>
      <c r="L166" s="6">
        <f t="shared" si="11"/>
        <v>3.0386716050415072E+16</v>
      </c>
      <c r="N166">
        <f t="shared" si="12"/>
        <v>3875</v>
      </c>
      <c r="O166">
        <f t="shared" si="14"/>
        <v>7841733174300.6641</v>
      </c>
      <c r="Q166">
        <f t="shared" si="13"/>
        <v>15.5</v>
      </c>
    </row>
    <row r="167" spans="11:17" x14ac:dyDescent="0.3">
      <c r="K167">
        <v>156</v>
      </c>
      <c r="L167" s="6">
        <f t="shared" si="11"/>
        <v>3.7071793581506392E+16</v>
      </c>
      <c r="N167">
        <f t="shared" si="12"/>
        <v>3900</v>
      </c>
      <c r="O167">
        <f t="shared" si="14"/>
        <v>9505588097822.1523</v>
      </c>
      <c r="Q167">
        <f t="shared" si="13"/>
        <v>15.600000000000001</v>
      </c>
    </row>
    <row r="168" spans="11:17" x14ac:dyDescent="0.3">
      <c r="K168">
        <v>157</v>
      </c>
      <c r="L168" s="6">
        <f t="shared" si="11"/>
        <v>4.5227588169437792E+16</v>
      </c>
      <c r="N168">
        <f t="shared" si="12"/>
        <v>3925</v>
      </c>
      <c r="O168">
        <f t="shared" si="14"/>
        <v>11522952399856.762</v>
      </c>
      <c r="Q168">
        <f t="shared" si="13"/>
        <v>15.700000000000001</v>
      </c>
    </row>
    <row r="169" spans="11:17" x14ac:dyDescent="0.3">
      <c r="K169">
        <v>158</v>
      </c>
      <c r="L169" s="6">
        <f t="shared" si="11"/>
        <v>5.5177657566714104E+16</v>
      </c>
      <c r="N169">
        <f t="shared" si="12"/>
        <v>3950</v>
      </c>
      <c r="O169">
        <f t="shared" si="14"/>
        <v>13969027232079.52</v>
      </c>
      <c r="Q169">
        <f t="shared" si="13"/>
        <v>15.8</v>
      </c>
    </row>
    <row r="170" spans="11:17" x14ac:dyDescent="0.3">
      <c r="K170">
        <v>159</v>
      </c>
      <c r="L170" s="6">
        <f t="shared" si="11"/>
        <v>6.7316742231391208E+16</v>
      </c>
      <c r="N170">
        <f t="shared" si="12"/>
        <v>3975</v>
      </c>
      <c r="O170">
        <f t="shared" si="14"/>
        <v>16935029492173.889</v>
      </c>
      <c r="Q170">
        <f t="shared" si="13"/>
        <v>15.9</v>
      </c>
    </row>
    <row r="171" spans="11:17" x14ac:dyDescent="0.3">
      <c r="K171">
        <v>160</v>
      </c>
      <c r="L171" s="6">
        <f t="shared" si="11"/>
        <v>8.2126425522297264E+16</v>
      </c>
      <c r="N171">
        <f t="shared" si="12"/>
        <v>4000</v>
      </c>
      <c r="O171">
        <f t="shared" si="14"/>
        <v>20531606380574.316</v>
      </c>
      <c r="Q171">
        <f t="shared" si="13"/>
        <v>16</v>
      </c>
    </row>
    <row r="172" spans="11:17" x14ac:dyDescent="0.3">
      <c r="K172">
        <v>161</v>
      </c>
      <c r="L172" s="6">
        <f t="shared" si="11"/>
        <v>1.0019423913720266E+17</v>
      </c>
      <c r="N172">
        <f t="shared" si="12"/>
        <v>4025</v>
      </c>
      <c r="O172">
        <f t="shared" si="14"/>
        <v>24892978667627.988</v>
      </c>
      <c r="Q172">
        <f t="shared" si="13"/>
        <v>16.100000000000001</v>
      </c>
    </row>
    <row r="173" spans="11:17" x14ac:dyDescent="0.3">
      <c r="K173">
        <v>162</v>
      </c>
      <c r="L173" s="6">
        <f t="shared" si="11"/>
        <v>1.2223697174738725E+17</v>
      </c>
      <c r="N173">
        <f t="shared" si="12"/>
        <v>4050</v>
      </c>
      <c r="O173">
        <f t="shared" si="14"/>
        <v>30181968332688.211</v>
      </c>
      <c r="Q173">
        <f t="shared" si="13"/>
        <v>16.2</v>
      </c>
    </row>
    <row r="174" spans="11:17" x14ac:dyDescent="0.3">
      <c r="K174">
        <v>163</v>
      </c>
      <c r="L174" s="6">
        <f t="shared" si="11"/>
        <v>1.4912910553181245E+17</v>
      </c>
      <c r="N174">
        <f t="shared" si="12"/>
        <v>4075</v>
      </c>
      <c r="O174">
        <f t="shared" si="14"/>
        <v>36596099517009.188</v>
      </c>
      <c r="Q174">
        <f t="shared" si="13"/>
        <v>16.3</v>
      </c>
    </row>
    <row r="175" spans="11:17" x14ac:dyDescent="0.3">
      <c r="K175">
        <v>164</v>
      </c>
      <c r="L175" s="6">
        <f t="shared" si="11"/>
        <v>1.8193750874881117E+17</v>
      </c>
      <c r="N175">
        <f t="shared" si="12"/>
        <v>4100</v>
      </c>
      <c r="O175">
        <f t="shared" si="14"/>
        <v>44375002133856.383</v>
      </c>
      <c r="Q175">
        <f t="shared" si="13"/>
        <v>16.400000000000002</v>
      </c>
    </row>
    <row r="176" spans="11:17" x14ac:dyDescent="0.3">
      <c r="K176">
        <v>165</v>
      </c>
      <c r="L176" s="6">
        <f t="shared" si="11"/>
        <v>2.219637606735496E+17</v>
      </c>
      <c r="N176">
        <f t="shared" si="12"/>
        <v>4125</v>
      </c>
      <c r="O176">
        <f t="shared" si="14"/>
        <v>53809396526921.117</v>
      </c>
      <c r="Q176">
        <f t="shared" si="13"/>
        <v>16.5</v>
      </c>
    </row>
    <row r="177" spans="11:17" x14ac:dyDescent="0.3">
      <c r="K177">
        <v>166</v>
      </c>
      <c r="L177" s="6">
        <f t="shared" si="11"/>
        <v>2.7079578802173046E+17</v>
      </c>
      <c r="N177">
        <f t="shared" si="12"/>
        <v>4150</v>
      </c>
      <c r="O177">
        <f t="shared" si="14"/>
        <v>65251997113669.992</v>
      </c>
      <c r="Q177">
        <f t="shared" si="13"/>
        <v>16.600000000000001</v>
      </c>
    </row>
    <row r="178" spans="11:17" x14ac:dyDescent="0.3">
      <c r="K178">
        <v>167</v>
      </c>
      <c r="L178" s="6">
        <f t="shared" si="11"/>
        <v>3.3037086138651123E+17</v>
      </c>
      <c r="N178">
        <f t="shared" si="12"/>
        <v>4175</v>
      </c>
      <c r="O178">
        <f t="shared" si="14"/>
        <v>79130745242278.141</v>
      </c>
      <c r="Q178">
        <f t="shared" si="13"/>
        <v>16.7</v>
      </c>
    </row>
    <row r="179" spans="11:17" x14ac:dyDescent="0.3">
      <c r="K179">
        <v>168</v>
      </c>
      <c r="L179" s="6">
        <f t="shared" si="11"/>
        <v>4.0305245089154362E+17</v>
      </c>
      <c r="N179">
        <f t="shared" si="12"/>
        <v>4200</v>
      </c>
      <c r="O179">
        <f t="shared" si="14"/>
        <v>95964869259891.344</v>
      </c>
      <c r="Q179">
        <f t="shared" si="13"/>
        <v>16.8</v>
      </c>
    </row>
    <row r="180" spans="11:17" x14ac:dyDescent="0.3">
      <c r="K180">
        <v>169</v>
      </c>
      <c r="L180" s="6">
        <f t="shared" si="11"/>
        <v>4.917239900876832E+17</v>
      </c>
      <c r="N180">
        <f t="shared" si="12"/>
        <v>4225</v>
      </c>
      <c r="O180">
        <f t="shared" si="14"/>
        <v>116384376352114.36</v>
      </c>
      <c r="Q180">
        <f t="shared" si="13"/>
        <v>16.900000000000002</v>
      </c>
    </row>
    <row r="181" spans="11:17" x14ac:dyDescent="0.3">
      <c r="K181">
        <v>170</v>
      </c>
      <c r="L181" s="6">
        <f t="shared" si="11"/>
        <v>5.9990326790697344E+17</v>
      </c>
      <c r="N181">
        <f t="shared" si="12"/>
        <v>4250</v>
      </c>
      <c r="O181">
        <f t="shared" si="14"/>
        <v>141153710095758.47</v>
      </c>
      <c r="Q181">
        <f t="shared" si="13"/>
        <v>17</v>
      </c>
    </row>
    <row r="182" spans="11:17" x14ac:dyDescent="0.3">
      <c r="K182">
        <v>171</v>
      </c>
      <c r="L182" s="6">
        <f t="shared" si="11"/>
        <v>7.3188198684650765E+17</v>
      </c>
      <c r="N182">
        <f t="shared" si="12"/>
        <v>4275</v>
      </c>
      <c r="O182">
        <f t="shared" si="14"/>
        <v>171200464759417</v>
      </c>
      <c r="Q182">
        <f t="shared" si="13"/>
        <v>17.100000000000001</v>
      </c>
    </row>
    <row r="183" spans="11:17" x14ac:dyDescent="0.3">
      <c r="K183">
        <v>172</v>
      </c>
      <c r="L183" s="6">
        <f t="shared" si="11"/>
        <v>8.928960239527392E+17</v>
      </c>
      <c r="N183">
        <f t="shared" si="12"/>
        <v>4300</v>
      </c>
      <c r="O183">
        <f t="shared" si="14"/>
        <v>207650238128544</v>
      </c>
      <c r="Q183">
        <f t="shared" si="13"/>
        <v>17.2</v>
      </c>
    </row>
    <row r="184" spans="11:17" x14ac:dyDescent="0.3">
      <c r="K184">
        <v>173</v>
      </c>
      <c r="L184" s="6">
        <f t="shared" si="11"/>
        <v>1.0893331492223418E+18</v>
      </c>
      <c r="N184">
        <f t="shared" si="12"/>
        <v>4325</v>
      </c>
      <c r="O184">
        <f t="shared" si="14"/>
        <v>251868936236379.59</v>
      </c>
      <c r="Q184">
        <f t="shared" si="13"/>
        <v>17.3</v>
      </c>
    </row>
    <row r="185" spans="11:17" x14ac:dyDescent="0.3">
      <c r="K185">
        <v>174</v>
      </c>
      <c r="L185" s="6">
        <f t="shared" si="11"/>
        <v>1.3289864420512568E+18</v>
      </c>
      <c r="N185">
        <f t="shared" si="12"/>
        <v>4350</v>
      </c>
      <c r="O185">
        <f t="shared" si="14"/>
        <v>305514124609484.31</v>
      </c>
      <c r="Q185">
        <f t="shared" si="13"/>
        <v>17.400000000000002</v>
      </c>
    </row>
    <row r="186" spans="11:17" x14ac:dyDescent="0.3">
      <c r="K186">
        <v>175</v>
      </c>
      <c r="L186" s="6">
        <f t="shared" si="11"/>
        <v>1.6213634593025334E+18</v>
      </c>
      <c r="N186">
        <f t="shared" si="12"/>
        <v>4375</v>
      </c>
      <c r="O186">
        <f t="shared" si="14"/>
        <v>370597362126293.31</v>
      </c>
      <c r="Q186">
        <f t="shared" si="13"/>
        <v>17.5</v>
      </c>
    </row>
    <row r="187" spans="11:17" x14ac:dyDescent="0.3">
      <c r="K187">
        <v>176</v>
      </c>
      <c r="L187" s="6">
        <f t="shared" si="11"/>
        <v>1.9780634203490906E+18</v>
      </c>
      <c r="N187">
        <f t="shared" si="12"/>
        <v>4400</v>
      </c>
      <c r="O187">
        <f t="shared" si="14"/>
        <v>449559868261156.94</v>
      </c>
      <c r="Q187">
        <f t="shared" si="13"/>
        <v>17.600000000000001</v>
      </c>
    </row>
    <row r="188" spans="11:17" x14ac:dyDescent="0.3">
      <c r="K188">
        <v>177</v>
      </c>
      <c r="L188" s="6">
        <f t="shared" si="11"/>
        <v>2.4132373728258903E+18</v>
      </c>
      <c r="N188">
        <f t="shared" si="12"/>
        <v>4425</v>
      </c>
      <c r="O188">
        <f t="shared" si="14"/>
        <v>545364378039749.25</v>
      </c>
      <c r="Q188">
        <f t="shared" si="13"/>
        <v>17.7</v>
      </c>
    </row>
    <row r="189" spans="11:17" x14ac:dyDescent="0.3">
      <c r="K189">
        <v>178</v>
      </c>
      <c r="L189" s="6">
        <f t="shared" si="11"/>
        <v>2.9441495948475863E+18</v>
      </c>
      <c r="N189">
        <f t="shared" si="12"/>
        <v>4450</v>
      </c>
      <c r="O189">
        <f t="shared" si="14"/>
        <v>661606650527547.5</v>
      </c>
      <c r="Q189">
        <f t="shared" si="13"/>
        <v>17.8</v>
      </c>
    </row>
    <row r="190" spans="11:17" x14ac:dyDescent="0.3">
      <c r="K190">
        <v>179</v>
      </c>
      <c r="L190" s="6">
        <f t="shared" si="11"/>
        <v>3.5918625057140552E+18</v>
      </c>
      <c r="N190">
        <f t="shared" si="12"/>
        <v>4475</v>
      </c>
      <c r="O190">
        <f t="shared" si="14"/>
        <v>802650839265710.63</v>
      </c>
      <c r="Q190">
        <f t="shared" si="13"/>
        <v>17.900000000000002</v>
      </c>
    </row>
    <row r="191" spans="11:17" x14ac:dyDescent="0.3">
      <c r="K191">
        <v>180</v>
      </c>
      <c r="L191" s="6">
        <f t="shared" si="11"/>
        <v>4.3820722569711462E+18</v>
      </c>
      <c r="N191">
        <f t="shared" si="12"/>
        <v>4500</v>
      </c>
      <c r="O191">
        <f t="shared" si="14"/>
        <v>973793834882477</v>
      </c>
      <c r="Q191">
        <f t="shared" si="13"/>
        <v>18</v>
      </c>
    </row>
    <row r="192" spans="11:17" x14ac:dyDescent="0.3">
      <c r="K192">
        <v>181</v>
      </c>
      <c r="L192" s="6">
        <f t="shared" si="11"/>
        <v>5.3461281535047987E+18</v>
      </c>
      <c r="N192">
        <f t="shared" si="12"/>
        <v>4525</v>
      </c>
      <c r="O192">
        <f t="shared" si="14"/>
        <v>1181464785304928</v>
      </c>
      <c r="Q192">
        <f t="shared" si="13"/>
        <v>18.100000000000001</v>
      </c>
    </row>
    <row r="193" spans="11:17" x14ac:dyDescent="0.3">
      <c r="K193">
        <v>182</v>
      </c>
      <c r="L193" s="6">
        <f t="shared" si="11"/>
        <v>6.5222763472758538E+18</v>
      </c>
      <c r="N193">
        <f t="shared" si="12"/>
        <v>4550</v>
      </c>
      <c r="O193">
        <f t="shared" si="14"/>
        <v>1433467329071616.3</v>
      </c>
      <c r="Q193">
        <f t="shared" si="13"/>
        <v>18.2</v>
      </c>
    </row>
    <row r="194" spans="11:17" x14ac:dyDescent="0.3">
      <c r="K194">
        <v>183</v>
      </c>
      <c r="L194" s="6">
        <f t="shared" si="11"/>
        <v>7.957177143676544E+18</v>
      </c>
      <c r="N194">
        <f t="shared" si="12"/>
        <v>4575</v>
      </c>
      <c r="O194">
        <f t="shared" si="14"/>
        <v>1739273692606894.8</v>
      </c>
      <c r="Q194">
        <f t="shared" si="13"/>
        <v>18.3</v>
      </c>
    </row>
    <row r="195" spans="11:17" x14ac:dyDescent="0.3">
      <c r="K195">
        <v>184</v>
      </c>
      <c r="L195" s="6">
        <f t="shared" si="11"/>
        <v>9.7077561152853811E+18</v>
      </c>
      <c r="N195">
        <f t="shared" si="12"/>
        <v>4600</v>
      </c>
      <c r="O195">
        <f t="shared" si="14"/>
        <v>2110381764192474.3</v>
      </c>
      <c r="Q195">
        <f t="shared" si="13"/>
        <v>18.400000000000002</v>
      </c>
    </row>
    <row r="196" spans="11:17" x14ac:dyDescent="0.3">
      <c r="K196">
        <v>185</v>
      </c>
      <c r="L196" s="6">
        <f t="shared" si="11"/>
        <v>1.1843462460648163E+19</v>
      </c>
      <c r="N196">
        <f t="shared" si="12"/>
        <v>4625</v>
      </c>
      <c r="O196">
        <f t="shared" si="14"/>
        <v>2560748640140143.5</v>
      </c>
      <c r="Q196">
        <f t="shared" si="13"/>
        <v>18.5</v>
      </c>
    </row>
    <row r="197" spans="11:17" x14ac:dyDescent="0.3">
      <c r="K197">
        <v>186</v>
      </c>
      <c r="L197" s="6">
        <f t="shared" si="11"/>
        <v>1.4449024201990762E+19</v>
      </c>
      <c r="N197">
        <f t="shared" si="12"/>
        <v>4650</v>
      </c>
      <c r="O197">
        <f t="shared" si="14"/>
        <v>3107317032686185.5</v>
      </c>
      <c r="Q197">
        <f t="shared" si="13"/>
        <v>18.600000000000001</v>
      </c>
    </row>
    <row r="198" spans="11:17" x14ac:dyDescent="0.3">
      <c r="K198">
        <v>187</v>
      </c>
      <c r="L198" s="6">
        <f t="shared" si="11"/>
        <v>1.7627809526428725E+19</v>
      </c>
      <c r="N198">
        <f t="shared" si="12"/>
        <v>4675</v>
      </c>
      <c r="O198">
        <f t="shared" si="14"/>
        <v>3770654444155877</v>
      </c>
      <c r="Q198">
        <f t="shared" si="13"/>
        <v>18.7</v>
      </c>
    </row>
    <row r="199" spans="11:17" x14ac:dyDescent="0.3">
      <c r="K199">
        <v>188</v>
      </c>
      <c r="L199" s="6">
        <f t="shared" si="11"/>
        <v>2.1505927622243049E+19</v>
      </c>
      <c r="N199">
        <f t="shared" si="12"/>
        <v>4700</v>
      </c>
      <c r="O199">
        <f t="shared" si="14"/>
        <v>4575729281328308</v>
      </c>
      <c r="Q199">
        <f t="shared" si="13"/>
        <v>18.8</v>
      </c>
    </row>
    <row r="200" spans="11:17" x14ac:dyDescent="0.3">
      <c r="K200">
        <v>189</v>
      </c>
      <c r="L200" s="6">
        <f t="shared" si="11"/>
        <v>2.6237231699136516E+19</v>
      </c>
      <c r="N200">
        <f t="shared" si="12"/>
        <v>4725</v>
      </c>
      <c r="O200">
        <f t="shared" si="14"/>
        <v>5552853269658522</v>
      </c>
      <c r="Q200">
        <f t="shared" si="13"/>
        <v>18.900000000000002</v>
      </c>
    </row>
    <row r="201" spans="11:17" x14ac:dyDescent="0.3">
      <c r="K201">
        <v>190</v>
      </c>
      <c r="L201" s="6">
        <f t="shared" si="11"/>
        <v>3.2009422672946545E+19</v>
      </c>
      <c r="N201">
        <f t="shared" si="12"/>
        <v>4750</v>
      </c>
      <c r="O201">
        <f t="shared" si="14"/>
        <v>6738825825883483</v>
      </c>
      <c r="Q201">
        <f t="shared" si="13"/>
        <v>19</v>
      </c>
    </row>
    <row r="202" spans="11:17" x14ac:dyDescent="0.3">
      <c r="K202">
        <v>191</v>
      </c>
      <c r="L202" s="6">
        <f t="shared" si="11"/>
        <v>3.9051495660994781E+19</v>
      </c>
      <c r="N202">
        <f t="shared" si="12"/>
        <v>4775</v>
      </c>
      <c r="O202">
        <f t="shared" si="14"/>
        <v>8178323698637651</v>
      </c>
      <c r="Q202">
        <f t="shared" si="13"/>
        <v>19.100000000000001</v>
      </c>
    </row>
    <row r="203" spans="11:17" x14ac:dyDescent="0.3">
      <c r="K203">
        <v>192</v>
      </c>
      <c r="L203" s="6">
        <f t="shared" si="11"/>
        <v>4.7642824706413634E+19</v>
      </c>
      <c r="N203">
        <f t="shared" si="12"/>
        <v>4800</v>
      </c>
      <c r="O203">
        <f t="shared" si="14"/>
        <v>9925588480502840</v>
      </c>
      <c r="Q203">
        <f t="shared" si="13"/>
        <v>19.200000000000003</v>
      </c>
    </row>
    <row r="204" spans="11:17" x14ac:dyDescent="0.3">
      <c r="K204">
        <v>193</v>
      </c>
      <c r="L204" s="6">
        <f t="shared" ref="L204:L267" si="15">$I$6*($I$7^K204)</f>
        <v>5.8124246141824623E+19</v>
      </c>
      <c r="N204">
        <f t="shared" ref="N204:N267" si="16">K204*$I$8</f>
        <v>4825</v>
      </c>
      <c r="O204">
        <f t="shared" si="14"/>
        <v>1.2046475884315984E+16</v>
      </c>
      <c r="Q204">
        <f t="shared" ref="Q204:Q267" si="17">K204*$I$11</f>
        <v>19.3</v>
      </c>
    </row>
    <row r="205" spans="11:17" x14ac:dyDescent="0.3">
      <c r="K205">
        <v>194</v>
      </c>
      <c r="L205" s="6">
        <f t="shared" si="15"/>
        <v>7.0911580293026046E+19</v>
      </c>
      <c r="N205">
        <f t="shared" si="16"/>
        <v>4850</v>
      </c>
      <c r="O205">
        <f t="shared" si="14"/>
        <v>1.4620944390314648E+16</v>
      </c>
      <c r="Q205">
        <f t="shared" si="17"/>
        <v>19.400000000000002</v>
      </c>
    </row>
    <row r="206" spans="11:17" x14ac:dyDescent="0.3">
      <c r="K206">
        <v>195</v>
      </c>
      <c r="L206" s="6">
        <f t="shared" si="15"/>
        <v>8.6512127957491778E+19</v>
      </c>
      <c r="N206">
        <f t="shared" si="16"/>
        <v>4875</v>
      </c>
      <c r="O206">
        <f t="shared" si="14"/>
        <v>1.7746077529741904E+16</v>
      </c>
      <c r="Q206">
        <f t="shared" si="17"/>
        <v>19.5</v>
      </c>
    </row>
    <row r="207" spans="11:17" x14ac:dyDescent="0.3">
      <c r="K207">
        <v>196</v>
      </c>
      <c r="L207" s="6">
        <f t="shared" si="15"/>
        <v>1.0554479610813994E+20</v>
      </c>
      <c r="N207">
        <f t="shared" si="16"/>
        <v>4900</v>
      </c>
      <c r="O207">
        <f t="shared" si="14"/>
        <v>2.153975430778366E+16</v>
      </c>
      <c r="Q207">
        <f t="shared" si="17"/>
        <v>19.600000000000001</v>
      </c>
    </row>
    <row r="208" spans="11:17" x14ac:dyDescent="0.3">
      <c r="K208">
        <v>197</v>
      </c>
      <c r="L208" s="6">
        <f t="shared" si="15"/>
        <v>1.2876465125193076E+20</v>
      </c>
      <c r="N208">
        <f t="shared" si="16"/>
        <v>4925</v>
      </c>
      <c r="O208">
        <f t="shared" ref="O208:O271" si="18">L208/N208</f>
        <v>2.6145106853183912E+16</v>
      </c>
      <c r="Q208">
        <f t="shared" si="17"/>
        <v>19.700000000000003</v>
      </c>
    </row>
    <row r="209" spans="11:17" x14ac:dyDescent="0.3">
      <c r="K209">
        <v>198</v>
      </c>
      <c r="L209" s="6">
        <f t="shared" si="15"/>
        <v>1.570928745273555E+20</v>
      </c>
      <c r="N209">
        <f t="shared" si="16"/>
        <v>4950</v>
      </c>
      <c r="O209">
        <f t="shared" si="18"/>
        <v>3.1735934247950608E+16</v>
      </c>
      <c r="Q209">
        <f t="shared" si="17"/>
        <v>19.8</v>
      </c>
    </row>
    <row r="210" spans="11:17" x14ac:dyDescent="0.3">
      <c r="K210">
        <v>199</v>
      </c>
      <c r="L210" s="6">
        <f t="shared" si="15"/>
        <v>1.9165330692337369E+20</v>
      </c>
      <c r="N210">
        <f t="shared" si="16"/>
        <v>4975</v>
      </c>
      <c r="O210">
        <f t="shared" si="18"/>
        <v>3.8523277773542448E+16</v>
      </c>
      <c r="Q210">
        <f t="shared" si="17"/>
        <v>19.900000000000002</v>
      </c>
    </row>
    <row r="211" spans="11:17" x14ac:dyDescent="0.3">
      <c r="K211">
        <v>200</v>
      </c>
      <c r="L211" s="6">
        <f t="shared" si="15"/>
        <v>2.338170344465159E+20</v>
      </c>
      <c r="N211">
        <f t="shared" si="16"/>
        <v>5000</v>
      </c>
      <c r="O211">
        <f t="shared" si="18"/>
        <v>4.6763406889303176E+16</v>
      </c>
      <c r="Q211">
        <f t="shared" si="17"/>
        <v>20</v>
      </c>
    </row>
    <row r="212" spans="11:17" x14ac:dyDescent="0.3">
      <c r="K212">
        <v>201</v>
      </c>
      <c r="L212" s="6">
        <f t="shared" si="15"/>
        <v>2.8525678202474938E+20</v>
      </c>
      <c r="N212">
        <f t="shared" si="16"/>
        <v>5025</v>
      </c>
      <c r="O212">
        <f t="shared" si="18"/>
        <v>5.67675188108954E+16</v>
      </c>
      <c r="Q212">
        <f t="shared" si="17"/>
        <v>20.100000000000001</v>
      </c>
    </row>
    <row r="213" spans="11:17" x14ac:dyDescent="0.3">
      <c r="K213">
        <v>202</v>
      </c>
      <c r="L213" s="6">
        <f t="shared" si="15"/>
        <v>3.4801327407019426E+20</v>
      </c>
      <c r="N213">
        <f t="shared" si="16"/>
        <v>5050</v>
      </c>
      <c r="O213">
        <f t="shared" si="18"/>
        <v>6.8913519617860248E+16</v>
      </c>
      <c r="Q213">
        <f t="shared" si="17"/>
        <v>20.200000000000003</v>
      </c>
    </row>
    <row r="214" spans="11:17" x14ac:dyDescent="0.3">
      <c r="K214">
        <v>203</v>
      </c>
      <c r="L214" s="6">
        <f t="shared" si="15"/>
        <v>4.2457619436563687E+20</v>
      </c>
      <c r="N214">
        <f t="shared" si="16"/>
        <v>5075</v>
      </c>
      <c r="O214">
        <f t="shared" si="18"/>
        <v>8.3660333865150128E+16</v>
      </c>
      <c r="Q214">
        <f t="shared" si="17"/>
        <v>20.3</v>
      </c>
    </row>
    <row r="215" spans="11:17" x14ac:dyDescent="0.3">
      <c r="K215">
        <v>204</v>
      </c>
      <c r="L215" s="6">
        <f t="shared" si="15"/>
        <v>5.1798295712607705E+20</v>
      </c>
      <c r="N215">
        <f t="shared" si="16"/>
        <v>5100</v>
      </c>
      <c r="O215">
        <f t="shared" si="18"/>
        <v>1.015652857109955E+17</v>
      </c>
      <c r="Q215">
        <f t="shared" si="17"/>
        <v>20.400000000000002</v>
      </c>
    </row>
    <row r="216" spans="11:17" x14ac:dyDescent="0.3">
      <c r="K216">
        <v>205</v>
      </c>
      <c r="L216" s="6">
        <f t="shared" si="15"/>
        <v>6.3193920769381394E+20</v>
      </c>
      <c r="N216">
        <f t="shared" si="16"/>
        <v>5125</v>
      </c>
      <c r="O216">
        <f t="shared" si="18"/>
        <v>1.2330521125732955E+17</v>
      </c>
      <c r="Q216">
        <f t="shared" si="17"/>
        <v>20.5</v>
      </c>
    </row>
    <row r="217" spans="11:17" x14ac:dyDescent="0.3">
      <c r="K217">
        <v>206</v>
      </c>
      <c r="L217" s="6">
        <f t="shared" si="15"/>
        <v>7.7096583338645298E+20</v>
      </c>
      <c r="N217">
        <f t="shared" si="16"/>
        <v>5150</v>
      </c>
      <c r="O217">
        <f t="shared" si="18"/>
        <v>1.4970210357018506E+17</v>
      </c>
      <c r="Q217">
        <f t="shared" si="17"/>
        <v>20.6</v>
      </c>
    </row>
    <row r="218" spans="11:17" x14ac:dyDescent="0.3">
      <c r="K218">
        <v>207</v>
      </c>
      <c r="L218" s="6">
        <f t="shared" si="15"/>
        <v>9.4057831673147267E+20</v>
      </c>
      <c r="N218">
        <f t="shared" si="16"/>
        <v>5175</v>
      </c>
      <c r="O218">
        <f t="shared" si="18"/>
        <v>1.8175426410270003E+17</v>
      </c>
      <c r="Q218">
        <f t="shared" si="17"/>
        <v>20.700000000000003</v>
      </c>
    </row>
    <row r="219" spans="11:17" x14ac:dyDescent="0.3">
      <c r="K219">
        <v>208</v>
      </c>
      <c r="L219" s="6">
        <f t="shared" si="15"/>
        <v>1.1475055464123965E+21</v>
      </c>
      <c r="N219">
        <f t="shared" si="16"/>
        <v>5200</v>
      </c>
      <c r="O219">
        <f t="shared" si="18"/>
        <v>2.2067414354084547E+17</v>
      </c>
      <c r="Q219">
        <f t="shared" si="17"/>
        <v>20.8</v>
      </c>
    </row>
    <row r="220" spans="11:17" x14ac:dyDescent="0.3">
      <c r="K220">
        <v>209</v>
      </c>
      <c r="L220" s="6">
        <f t="shared" si="15"/>
        <v>1.3999567666231236E+21</v>
      </c>
      <c r="N220">
        <f t="shared" si="16"/>
        <v>5225</v>
      </c>
      <c r="O220">
        <f t="shared" si="18"/>
        <v>2.6793430940155475E+17</v>
      </c>
      <c r="Q220">
        <f t="shared" si="17"/>
        <v>20.900000000000002</v>
      </c>
    </row>
    <row r="221" spans="11:17" x14ac:dyDescent="0.3">
      <c r="K221">
        <v>210</v>
      </c>
      <c r="L221" s="6">
        <f t="shared" si="15"/>
        <v>1.7079472552802108E+21</v>
      </c>
      <c r="N221">
        <f t="shared" si="16"/>
        <v>5250</v>
      </c>
      <c r="O221">
        <f t="shared" si="18"/>
        <v>3.2532328672004013E+17</v>
      </c>
      <c r="Q221">
        <f t="shared" si="17"/>
        <v>21</v>
      </c>
    </row>
    <row r="222" spans="11:17" x14ac:dyDescent="0.3">
      <c r="K222">
        <v>211</v>
      </c>
      <c r="L222" s="6">
        <f t="shared" si="15"/>
        <v>2.083695651441857E+21</v>
      </c>
      <c r="N222">
        <f t="shared" si="16"/>
        <v>5275</v>
      </c>
      <c r="O222">
        <f t="shared" si="18"/>
        <v>3.9501339363826675E+17</v>
      </c>
      <c r="Q222">
        <f t="shared" si="17"/>
        <v>21.1</v>
      </c>
    </row>
    <row r="223" spans="11:17" x14ac:dyDescent="0.3">
      <c r="K223">
        <v>212</v>
      </c>
      <c r="L223" s="6">
        <f t="shared" si="15"/>
        <v>2.5421086947590653E+21</v>
      </c>
      <c r="N223">
        <f t="shared" si="16"/>
        <v>5300</v>
      </c>
      <c r="O223">
        <f t="shared" si="18"/>
        <v>4.7964314995454061E+17</v>
      </c>
      <c r="Q223">
        <f t="shared" si="17"/>
        <v>21.200000000000003</v>
      </c>
    </row>
    <row r="224" spans="11:17" x14ac:dyDescent="0.3">
      <c r="K224">
        <v>213</v>
      </c>
      <c r="L224" s="6">
        <f t="shared" si="15"/>
        <v>3.1013726076060597E+21</v>
      </c>
      <c r="N224">
        <f t="shared" si="16"/>
        <v>5325</v>
      </c>
      <c r="O224">
        <f t="shared" si="18"/>
        <v>5.8241739109972954E+17</v>
      </c>
      <c r="Q224">
        <f t="shared" si="17"/>
        <v>21.3</v>
      </c>
    </row>
    <row r="225" spans="11:17" x14ac:dyDescent="0.3">
      <c r="K225">
        <v>214</v>
      </c>
      <c r="L225" s="6">
        <f t="shared" si="15"/>
        <v>3.7836745812793927E+21</v>
      </c>
      <c r="N225">
        <f t="shared" si="16"/>
        <v>5350</v>
      </c>
      <c r="O225">
        <f t="shared" si="18"/>
        <v>7.0722889369708275E+17</v>
      </c>
      <c r="Q225">
        <f t="shared" si="17"/>
        <v>21.400000000000002</v>
      </c>
    </row>
    <row r="226" spans="11:17" x14ac:dyDescent="0.3">
      <c r="K226">
        <v>215</v>
      </c>
      <c r="L226" s="6">
        <f t="shared" si="15"/>
        <v>4.6160829891608597E+21</v>
      </c>
      <c r="N226">
        <f t="shared" si="16"/>
        <v>5375</v>
      </c>
      <c r="O226">
        <f t="shared" si="18"/>
        <v>8.5880613751829952E+17</v>
      </c>
      <c r="Q226">
        <f t="shared" si="17"/>
        <v>21.5</v>
      </c>
    </row>
    <row r="227" spans="11:17" x14ac:dyDescent="0.3">
      <c r="K227">
        <v>216</v>
      </c>
      <c r="L227" s="6">
        <f t="shared" si="15"/>
        <v>5.6316212467762473E+21</v>
      </c>
      <c r="N227">
        <f t="shared" si="16"/>
        <v>5400</v>
      </c>
      <c r="O227">
        <f t="shared" si="18"/>
        <v>1.0428928234770829E+18</v>
      </c>
      <c r="Q227">
        <f t="shared" si="17"/>
        <v>21.6</v>
      </c>
    </row>
    <row r="228" spans="11:17" x14ac:dyDescent="0.3">
      <c r="K228">
        <v>217</v>
      </c>
      <c r="L228" s="6">
        <f t="shared" si="15"/>
        <v>6.8705779210670225E+21</v>
      </c>
      <c r="N228">
        <f t="shared" si="16"/>
        <v>5425</v>
      </c>
      <c r="O228">
        <f t="shared" si="18"/>
        <v>1.2664659762335526E+18</v>
      </c>
      <c r="Q228">
        <f t="shared" si="17"/>
        <v>21.700000000000003</v>
      </c>
    </row>
    <row r="229" spans="11:17" x14ac:dyDescent="0.3">
      <c r="K229">
        <v>218</v>
      </c>
      <c r="L229" s="6">
        <f t="shared" si="15"/>
        <v>8.3821050637017667E+21</v>
      </c>
      <c r="N229">
        <f t="shared" si="16"/>
        <v>5450</v>
      </c>
      <c r="O229">
        <f t="shared" si="18"/>
        <v>1.5380009291195901E+18</v>
      </c>
      <c r="Q229">
        <f t="shared" si="17"/>
        <v>21.8</v>
      </c>
    </row>
    <row r="230" spans="11:17" x14ac:dyDescent="0.3">
      <c r="K230">
        <v>219</v>
      </c>
      <c r="L230" s="6">
        <f t="shared" si="15"/>
        <v>1.0226168177716154E+22</v>
      </c>
      <c r="N230">
        <f t="shared" si="16"/>
        <v>5475</v>
      </c>
      <c r="O230">
        <f t="shared" si="18"/>
        <v>1.8677932744687037E+18</v>
      </c>
      <c r="Q230">
        <f t="shared" si="17"/>
        <v>21.900000000000002</v>
      </c>
    </row>
    <row r="231" spans="11:17" x14ac:dyDescent="0.3">
      <c r="K231">
        <v>220</v>
      </c>
      <c r="L231" s="6">
        <f t="shared" si="15"/>
        <v>1.2475925176813709E+22</v>
      </c>
      <c r="N231">
        <f t="shared" si="16"/>
        <v>5500</v>
      </c>
      <c r="O231">
        <f t="shared" si="18"/>
        <v>2.2683500321479473E+18</v>
      </c>
      <c r="Q231">
        <f t="shared" si="17"/>
        <v>22</v>
      </c>
    </row>
    <row r="232" spans="11:17" x14ac:dyDescent="0.3">
      <c r="K232">
        <v>221</v>
      </c>
      <c r="L232" s="6">
        <f t="shared" si="15"/>
        <v>1.5220628715712721E+22</v>
      </c>
      <c r="N232">
        <f t="shared" si="16"/>
        <v>5525</v>
      </c>
      <c r="O232">
        <f t="shared" si="18"/>
        <v>2.7548649259208545E+18</v>
      </c>
      <c r="Q232">
        <f t="shared" si="17"/>
        <v>22.1</v>
      </c>
    </row>
    <row r="233" spans="11:17" x14ac:dyDescent="0.3">
      <c r="K233">
        <v>222</v>
      </c>
      <c r="L233" s="6">
        <f t="shared" si="15"/>
        <v>1.8569167033169521E+22</v>
      </c>
      <c r="N233">
        <f t="shared" si="16"/>
        <v>5550</v>
      </c>
      <c r="O233">
        <f t="shared" si="18"/>
        <v>3.3457958618323461E+18</v>
      </c>
      <c r="Q233">
        <f t="shared" si="17"/>
        <v>22.200000000000003</v>
      </c>
    </row>
    <row r="234" spans="11:17" x14ac:dyDescent="0.3">
      <c r="K234">
        <v>223</v>
      </c>
      <c r="L234" s="6">
        <f t="shared" si="15"/>
        <v>2.2654383780466816E+22</v>
      </c>
      <c r="N234">
        <f t="shared" si="16"/>
        <v>5575</v>
      </c>
      <c r="O234">
        <f t="shared" si="18"/>
        <v>4.063566597393151E+18</v>
      </c>
      <c r="Q234">
        <f t="shared" si="17"/>
        <v>22.3</v>
      </c>
    </row>
    <row r="235" spans="11:17" x14ac:dyDescent="0.3">
      <c r="K235">
        <v>224</v>
      </c>
      <c r="L235" s="6">
        <f t="shared" si="15"/>
        <v>2.7638348212169515E+22</v>
      </c>
      <c r="N235">
        <f t="shared" si="16"/>
        <v>5600</v>
      </c>
      <c r="O235">
        <f t="shared" si="18"/>
        <v>4.9354193236016988E+18</v>
      </c>
      <c r="Q235">
        <f t="shared" si="17"/>
        <v>22.400000000000002</v>
      </c>
    </row>
    <row r="236" spans="11:17" x14ac:dyDescent="0.3">
      <c r="K236">
        <v>225</v>
      </c>
      <c r="L236" s="6">
        <f t="shared" si="15"/>
        <v>3.3718784818846806E+22</v>
      </c>
      <c r="N236">
        <f t="shared" si="16"/>
        <v>5625</v>
      </c>
      <c r="O236">
        <f t="shared" si="18"/>
        <v>5.994450634461654E+18</v>
      </c>
      <c r="Q236">
        <f t="shared" si="17"/>
        <v>22.5</v>
      </c>
    </row>
    <row r="237" spans="11:17" x14ac:dyDescent="0.3">
      <c r="K237">
        <v>226</v>
      </c>
      <c r="L237" s="6">
        <f t="shared" si="15"/>
        <v>4.1136917478993094E+22</v>
      </c>
      <c r="N237">
        <f t="shared" si="16"/>
        <v>5650</v>
      </c>
      <c r="O237">
        <f t="shared" si="18"/>
        <v>7.2808703502642647E+18</v>
      </c>
      <c r="Q237">
        <f t="shared" si="17"/>
        <v>22.6</v>
      </c>
    </row>
    <row r="238" spans="11:17" x14ac:dyDescent="0.3">
      <c r="K238">
        <v>227</v>
      </c>
      <c r="L238" s="6">
        <f t="shared" si="15"/>
        <v>5.0187039324371583E+22</v>
      </c>
      <c r="N238">
        <f t="shared" si="16"/>
        <v>5675</v>
      </c>
      <c r="O238">
        <f t="shared" si="18"/>
        <v>8.843531158479574E+18</v>
      </c>
      <c r="Q238">
        <f t="shared" si="17"/>
        <v>22.700000000000003</v>
      </c>
    </row>
    <row r="239" spans="11:17" x14ac:dyDescent="0.3">
      <c r="K239">
        <v>228</v>
      </c>
      <c r="L239" s="6">
        <f t="shared" si="15"/>
        <v>6.1228187975733326E+22</v>
      </c>
      <c r="N239">
        <f t="shared" si="16"/>
        <v>5700</v>
      </c>
      <c r="O239">
        <f t="shared" si="18"/>
        <v>1.0741787364163742E+19</v>
      </c>
      <c r="Q239">
        <f t="shared" si="17"/>
        <v>22.8</v>
      </c>
    </row>
    <row r="240" spans="11:17" x14ac:dyDescent="0.3">
      <c r="K240">
        <v>229</v>
      </c>
      <c r="L240" s="6">
        <f t="shared" si="15"/>
        <v>7.4698389330394654E+22</v>
      </c>
      <c r="N240">
        <f t="shared" si="16"/>
        <v>5725</v>
      </c>
      <c r="O240">
        <f t="shared" si="18"/>
        <v>1.3047753594828761E+19</v>
      </c>
      <c r="Q240">
        <f t="shared" si="17"/>
        <v>22.900000000000002</v>
      </c>
    </row>
    <row r="241" spans="11:17" x14ac:dyDescent="0.3">
      <c r="K241">
        <v>230</v>
      </c>
      <c r="L241" s="6">
        <f t="shared" si="15"/>
        <v>9.113203498308146E+22</v>
      </c>
      <c r="N241">
        <f t="shared" si="16"/>
        <v>5750</v>
      </c>
      <c r="O241">
        <f t="shared" si="18"/>
        <v>1.5849049562275037E+19</v>
      </c>
      <c r="Q241">
        <f t="shared" si="17"/>
        <v>23</v>
      </c>
    </row>
    <row r="242" spans="11:17" x14ac:dyDescent="0.3">
      <c r="K242">
        <v>231</v>
      </c>
      <c r="L242" s="6">
        <f t="shared" si="15"/>
        <v>1.1118108267935941E+23</v>
      </c>
      <c r="N242">
        <f t="shared" si="16"/>
        <v>5775</v>
      </c>
      <c r="O242">
        <f t="shared" si="18"/>
        <v>1.9252135528893403E+19</v>
      </c>
      <c r="Q242">
        <f t="shared" si="17"/>
        <v>23.1</v>
      </c>
    </row>
    <row r="243" spans="11:17" x14ac:dyDescent="0.3">
      <c r="K243">
        <v>232</v>
      </c>
      <c r="L243" s="6">
        <f t="shared" si="15"/>
        <v>1.3564092086881844E+23</v>
      </c>
      <c r="N243">
        <f t="shared" si="16"/>
        <v>5800</v>
      </c>
      <c r="O243">
        <f t="shared" si="18"/>
        <v>2.3386365667037663E+19</v>
      </c>
      <c r="Q243">
        <f t="shared" si="17"/>
        <v>23.200000000000003</v>
      </c>
    </row>
    <row r="244" spans="11:17" x14ac:dyDescent="0.3">
      <c r="K244">
        <v>233</v>
      </c>
      <c r="L244" s="6">
        <f t="shared" si="15"/>
        <v>1.6548192345995849E+23</v>
      </c>
      <c r="N244">
        <f t="shared" si="16"/>
        <v>5825</v>
      </c>
      <c r="O244">
        <f t="shared" si="18"/>
        <v>2.8408913898705318E+19</v>
      </c>
      <c r="Q244">
        <f t="shared" si="17"/>
        <v>23.3</v>
      </c>
    </row>
    <row r="245" spans="11:17" x14ac:dyDescent="0.3">
      <c r="K245">
        <v>234</v>
      </c>
      <c r="L245" s="6">
        <f t="shared" si="15"/>
        <v>2.018879466211493E+23</v>
      </c>
      <c r="N245">
        <f t="shared" si="16"/>
        <v>5850</v>
      </c>
      <c r="O245">
        <f t="shared" si="18"/>
        <v>3.4510760106179367E+19</v>
      </c>
      <c r="Q245">
        <f t="shared" si="17"/>
        <v>23.400000000000002</v>
      </c>
    </row>
    <row r="246" spans="11:17" x14ac:dyDescent="0.3">
      <c r="K246">
        <v>235</v>
      </c>
      <c r="L246" s="6">
        <f t="shared" si="15"/>
        <v>2.4630329487780221E+23</v>
      </c>
      <c r="N246">
        <f t="shared" si="16"/>
        <v>5875</v>
      </c>
      <c r="O246">
        <f t="shared" si="18"/>
        <v>4.1923965085583352E+19</v>
      </c>
      <c r="Q246">
        <f t="shared" si="17"/>
        <v>23.5</v>
      </c>
    </row>
    <row r="247" spans="11:17" x14ac:dyDescent="0.3">
      <c r="K247">
        <v>236</v>
      </c>
      <c r="L247" s="6">
        <f t="shared" si="15"/>
        <v>3.0049001975091867E+23</v>
      </c>
      <c r="N247">
        <f t="shared" si="16"/>
        <v>5900</v>
      </c>
      <c r="O247">
        <f t="shared" si="18"/>
        <v>5.0930511822189601E+19</v>
      </c>
      <c r="Q247">
        <f t="shared" si="17"/>
        <v>23.6</v>
      </c>
    </row>
    <row r="248" spans="11:17" x14ac:dyDescent="0.3">
      <c r="K248">
        <v>237</v>
      </c>
      <c r="L248" s="6">
        <f t="shared" si="15"/>
        <v>3.6659782409612077E+23</v>
      </c>
      <c r="N248">
        <f t="shared" si="16"/>
        <v>5925</v>
      </c>
      <c r="O248">
        <f t="shared" si="18"/>
        <v>6.1873050480357933E+19</v>
      </c>
      <c r="Q248">
        <f t="shared" si="17"/>
        <v>23.700000000000003</v>
      </c>
    </row>
    <row r="249" spans="11:17" x14ac:dyDescent="0.3">
      <c r="K249">
        <v>238</v>
      </c>
      <c r="L249" s="6">
        <f t="shared" si="15"/>
        <v>4.4724934539726728E+23</v>
      </c>
      <c r="N249">
        <f t="shared" si="16"/>
        <v>5950</v>
      </c>
      <c r="O249">
        <f t="shared" si="18"/>
        <v>7.5167957209624756E+19</v>
      </c>
      <c r="Q249">
        <f t="shared" si="17"/>
        <v>23.8</v>
      </c>
    </row>
    <row r="250" spans="11:17" x14ac:dyDescent="0.3">
      <c r="K250">
        <v>239</v>
      </c>
      <c r="L250" s="6">
        <f t="shared" si="15"/>
        <v>5.4564420138466616E+23</v>
      </c>
      <c r="N250">
        <f t="shared" si="16"/>
        <v>5975</v>
      </c>
      <c r="O250">
        <f t="shared" si="18"/>
        <v>9.1321205252663788E+19</v>
      </c>
      <c r="Q250">
        <f t="shared" si="17"/>
        <v>23.900000000000002</v>
      </c>
    </row>
    <row r="251" spans="11:17" x14ac:dyDescent="0.3">
      <c r="K251">
        <v>240</v>
      </c>
      <c r="L251" s="6">
        <f t="shared" si="15"/>
        <v>6.656859256892925E+23</v>
      </c>
      <c r="N251">
        <f t="shared" si="16"/>
        <v>6000</v>
      </c>
      <c r="O251">
        <f t="shared" si="18"/>
        <v>1.1094765428154874E+20</v>
      </c>
      <c r="Q251">
        <f t="shared" si="17"/>
        <v>24</v>
      </c>
    </row>
    <row r="252" spans="11:17" x14ac:dyDescent="0.3">
      <c r="K252">
        <v>241</v>
      </c>
      <c r="L252" s="6">
        <f t="shared" si="15"/>
        <v>8.1213682934093693E+23</v>
      </c>
      <c r="N252">
        <f t="shared" si="16"/>
        <v>6025</v>
      </c>
      <c r="O252">
        <f t="shared" si="18"/>
        <v>1.3479449449642107E+20</v>
      </c>
      <c r="Q252">
        <f t="shared" si="17"/>
        <v>24.1</v>
      </c>
    </row>
    <row r="253" spans="11:17" x14ac:dyDescent="0.3">
      <c r="K253">
        <v>242</v>
      </c>
      <c r="L253" s="6">
        <f t="shared" si="15"/>
        <v>9.9080693179594305E+23</v>
      </c>
      <c r="N253">
        <f t="shared" si="16"/>
        <v>6050</v>
      </c>
      <c r="O253">
        <f t="shared" si="18"/>
        <v>1.6376974079271787E+20</v>
      </c>
      <c r="Q253">
        <f t="shared" si="17"/>
        <v>24.200000000000003</v>
      </c>
    </row>
    <row r="254" spans="11:17" x14ac:dyDescent="0.3">
      <c r="K254">
        <v>243</v>
      </c>
      <c r="L254" s="6">
        <f t="shared" si="15"/>
        <v>1.2087844567910503E+24</v>
      </c>
      <c r="N254">
        <f t="shared" si="16"/>
        <v>6075</v>
      </c>
      <c r="O254">
        <f t="shared" si="18"/>
        <v>1.9897686531539924E+20</v>
      </c>
      <c r="Q254">
        <f t="shared" si="17"/>
        <v>24.3</v>
      </c>
    </row>
    <row r="255" spans="11:17" x14ac:dyDescent="0.3">
      <c r="K255">
        <v>244</v>
      </c>
      <c r="L255" s="6">
        <f t="shared" si="15"/>
        <v>1.4747170372850813E+24</v>
      </c>
      <c r="N255">
        <f t="shared" si="16"/>
        <v>6100</v>
      </c>
      <c r="O255">
        <f t="shared" si="18"/>
        <v>2.4175689135821003E+20</v>
      </c>
      <c r="Q255">
        <f t="shared" si="17"/>
        <v>24.400000000000002</v>
      </c>
    </row>
    <row r="256" spans="11:17" x14ac:dyDescent="0.3">
      <c r="K256">
        <v>245</v>
      </c>
      <c r="L256" s="6">
        <f t="shared" si="15"/>
        <v>1.7991547854877993E+24</v>
      </c>
      <c r="N256">
        <f t="shared" si="16"/>
        <v>6125</v>
      </c>
      <c r="O256">
        <f t="shared" si="18"/>
        <v>2.9373955681433459E+20</v>
      </c>
      <c r="Q256">
        <f t="shared" si="17"/>
        <v>24.5</v>
      </c>
    </row>
    <row r="257" spans="11:17" x14ac:dyDescent="0.3">
      <c r="K257">
        <v>246</v>
      </c>
      <c r="L257" s="6">
        <f t="shared" si="15"/>
        <v>2.1949688382951148E+24</v>
      </c>
      <c r="N257">
        <f t="shared" si="16"/>
        <v>6150</v>
      </c>
      <c r="O257">
        <f t="shared" si="18"/>
        <v>3.5690550216180728E+20</v>
      </c>
      <c r="Q257">
        <f t="shared" si="17"/>
        <v>24.6</v>
      </c>
    </row>
    <row r="258" spans="11:17" x14ac:dyDescent="0.3">
      <c r="K258">
        <v>247</v>
      </c>
      <c r="L258" s="6">
        <f t="shared" si="15"/>
        <v>2.6778619827200403E+24</v>
      </c>
      <c r="N258">
        <f t="shared" si="16"/>
        <v>6175</v>
      </c>
      <c r="O258">
        <f t="shared" si="18"/>
        <v>4.336618595498041E+20</v>
      </c>
      <c r="Q258">
        <f t="shared" si="17"/>
        <v>24.700000000000003</v>
      </c>
    </row>
    <row r="259" spans="11:17" x14ac:dyDescent="0.3">
      <c r="K259">
        <v>248</v>
      </c>
      <c r="L259" s="6">
        <f t="shared" si="15"/>
        <v>3.2669916189184494E+24</v>
      </c>
      <c r="N259">
        <f t="shared" si="16"/>
        <v>6200</v>
      </c>
      <c r="O259">
        <f t="shared" si="18"/>
        <v>5.2693413208362084E+20</v>
      </c>
      <c r="Q259">
        <f t="shared" si="17"/>
        <v>24.8</v>
      </c>
    </row>
    <row r="260" spans="11:17" x14ac:dyDescent="0.3">
      <c r="K260">
        <v>249</v>
      </c>
      <c r="L260" s="6">
        <f t="shared" si="15"/>
        <v>3.9857297750805071E+24</v>
      </c>
      <c r="N260">
        <f t="shared" si="16"/>
        <v>6225</v>
      </c>
      <c r="O260">
        <f t="shared" si="18"/>
        <v>6.4027787551494085E+20</v>
      </c>
      <c r="Q260">
        <f t="shared" si="17"/>
        <v>24.900000000000002</v>
      </c>
    </row>
    <row r="261" spans="11:17" x14ac:dyDescent="0.3">
      <c r="K261">
        <v>250</v>
      </c>
      <c r="L261" s="6">
        <f t="shared" si="15"/>
        <v>4.8625903255982187E+24</v>
      </c>
      <c r="N261">
        <f t="shared" si="16"/>
        <v>6250</v>
      </c>
      <c r="O261">
        <f t="shared" si="18"/>
        <v>7.7801445209571498E+20</v>
      </c>
      <c r="Q261">
        <f t="shared" si="17"/>
        <v>25</v>
      </c>
    </row>
    <row r="262" spans="11:17" x14ac:dyDescent="0.3">
      <c r="K262">
        <v>251</v>
      </c>
      <c r="L262" s="6">
        <f t="shared" si="15"/>
        <v>5.9323601972298266E+24</v>
      </c>
      <c r="N262">
        <f t="shared" si="16"/>
        <v>6275</v>
      </c>
      <c r="O262">
        <f t="shared" si="18"/>
        <v>9.4539604736730307E+20</v>
      </c>
      <c r="Q262">
        <f t="shared" si="17"/>
        <v>25.1</v>
      </c>
    </row>
    <row r="263" spans="11:17" x14ac:dyDescent="0.3">
      <c r="K263">
        <v>252</v>
      </c>
      <c r="L263" s="6">
        <f t="shared" si="15"/>
        <v>7.237479440620388E+24</v>
      </c>
      <c r="N263">
        <f t="shared" si="16"/>
        <v>6300</v>
      </c>
      <c r="O263">
        <f t="shared" si="18"/>
        <v>1.1488062604159346E+21</v>
      </c>
      <c r="Q263">
        <f t="shared" si="17"/>
        <v>25.200000000000003</v>
      </c>
    </row>
    <row r="264" spans="11:17" x14ac:dyDescent="0.3">
      <c r="K264">
        <v>253</v>
      </c>
      <c r="L264" s="6">
        <f t="shared" si="15"/>
        <v>8.8297249175568733E+24</v>
      </c>
      <c r="N264">
        <f t="shared" si="16"/>
        <v>6325</v>
      </c>
      <c r="O264">
        <f t="shared" si="18"/>
        <v>1.3960039395346835E+21</v>
      </c>
      <c r="Q264">
        <f t="shared" si="17"/>
        <v>25.3</v>
      </c>
    </row>
    <row r="265" spans="11:17" x14ac:dyDescent="0.3">
      <c r="K265">
        <v>254</v>
      </c>
      <c r="L265" s="6">
        <f t="shared" si="15"/>
        <v>1.0772264399419384E+25</v>
      </c>
      <c r="N265">
        <f t="shared" si="16"/>
        <v>6350</v>
      </c>
      <c r="O265">
        <f t="shared" si="18"/>
        <v>1.6964195904597454E+21</v>
      </c>
      <c r="Q265">
        <f t="shared" si="17"/>
        <v>25.400000000000002</v>
      </c>
    </row>
    <row r="266" spans="11:17" x14ac:dyDescent="0.3">
      <c r="K266">
        <v>255</v>
      </c>
      <c r="L266" s="6">
        <f t="shared" si="15"/>
        <v>1.3142162567291652E+25</v>
      </c>
      <c r="N266">
        <f t="shared" si="16"/>
        <v>6375</v>
      </c>
      <c r="O266">
        <f t="shared" si="18"/>
        <v>2.0615156968300631E+21</v>
      </c>
      <c r="Q266">
        <f t="shared" si="17"/>
        <v>25.5</v>
      </c>
    </row>
    <row r="267" spans="11:17" x14ac:dyDescent="0.3">
      <c r="K267">
        <v>256</v>
      </c>
      <c r="L267" s="6">
        <f t="shared" si="15"/>
        <v>1.6033438332095811E+25</v>
      </c>
      <c r="N267">
        <f t="shared" si="16"/>
        <v>6400</v>
      </c>
      <c r="O267">
        <f t="shared" si="18"/>
        <v>2.5052247393899706E+21</v>
      </c>
      <c r="Q267">
        <f t="shared" si="17"/>
        <v>25.6</v>
      </c>
    </row>
    <row r="268" spans="11:17" x14ac:dyDescent="0.3">
      <c r="K268">
        <v>257</v>
      </c>
      <c r="L268" s="6">
        <f t="shared" ref="L268:L331" si="19">$I$6*($I$7^K268)</f>
        <v>1.9560794765156889E+25</v>
      </c>
      <c r="N268">
        <f t="shared" ref="N268:N331" si="20">K268*$I$8</f>
        <v>6425</v>
      </c>
      <c r="O268">
        <f t="shared" si="18"/>
        <v>3.0444816755107997E+21</v>
      </c>
      <c r="Q268">
        <f t="shared" ref="Q268:Q331" si="21">K268*$I$11</f>
        <v>25.700000000000003</v>
      </c>
    </row>
    <row r="269" spans="11:17" x14ac:dyDescent="0.3">
      <c r="K269">
        <v>258</v>
      </c>
      <c r="L269" s="6">
        <f t="shared" si="19"/>
        <v>2.3864169613491405E+25</v>
      </c>
      <c r="N269">
        <f t="shared" si="20"/>
        <v>6450</v>
      </c>
      <c r="O269">
        <f t="shared" si="18"/>
        <v>3.6998712579056442E+21</v>
      </c>
      <c r="Q269">
        <f t="shared" si="21"/>
        <v>25.8</v>
      </c>
    </row>
    <row r="270" spans="11:17" x14ac:dyDescent="0.3">
      <c r="K270">
        <v>259</v>
      </c>
      <c r="L270" s="6">
        <f t="shared" si="19"/>
        <v>2.9114286928459511E+25</v>
      </c>
      <c r="N270">
        <f t="shared" si="20"/>
        <v>6475</v>
      </c>
      <c r="O270">
        <f t="shared" si="18"/>
        <v>4.4964149696462565E+21</v>
      </c>
      <c r="Q270">
        <f t="shared" si="21"/>
        <v>25.900000000000002</v>
      </c>
    </row>
    <row r="271" spans="11:17" x14ac:dyDescent="0.3">
      <c r="K271">
        <v>260</v>
      </c>
      <c r="L271" s="6">
        <f t="shared" si="19"/>
        <v>3.5519430052720601E+25</v>
      </c>
      <c r="N271">
        <f t="shared" si="20"/>
        <v>6500</v>
      </c>
      <c r="O271">
        <f t="shared" si="18"/>
        <v>5.4645277004185542E+21</v>
      </c>
      <c r="Q271">
        <f t="shared" si="21"/>
        <v>26</v>
      </c>
    </row>
    <row r="272" spans="11:17" x14ac:dyDescent="0.3">
      <c r="K272">
        <v>261</v>
      </c>
      <c r="L272" s="6">
        <f t="shared" si="19"/>
        <v>4.333370466431914E+25</v>
      </c>
      <c r="N272">
        <f t="shared" si="20"/>
        <v>6525</v>
      </c>
      <c r="O272">
        <f t="shared" ref="O272:O331" si="22">L272/N272</f>
        <v>6.6411807914665349E+21</v>
      </c>
      <c r="Q272">
        <f t="shared" si="21"/>
        <v>26.1</v>
      </c>
    </row>
    <row r="273" spans="11:17" x14ac:dyDescent="0.3">
      <c r="K273">
        <v>262</v>
      </c>
      <c r="L273" s="6">
        <f t="shared" si="19"/>
        <v>5.2867119690469343E+25</v>
      </c>
      <c r="N273">
        <f t="shared" si="20"/>
        <v>6550</v>
      </c>
      <c r="O273">
        <f t="shared" si="22"/>
        <v>8.0713159832777618E+21</v>
      </c>
      <c r="Q273">
        <f t="shared" si="21"/>
        <v>26.200000000000003</v>
      </c>
    </row>
    <row r="274" spans="11:17" x14ac:dyDescent="0.3">
      <c r="K274">
        <v>263</v>
      </c>
      <c r="L274" s="6">
        <f t="shared" si="19"/>
        <v>6.4497886022372593E+25</v>
      </c>
      <c r="N274">
        <f t="shared" si="20"/>
        <v>6575</v>
      </c>
      <c r="O274">
        <f t="shared" si="22"/>
        <v>9.8095644140490646E+21</v>
      </c>
      <c r="Q274">
        <f t="shared" si="21"/>
        <v>26.3</v>
      </c>
    </row>
    <row r="275" spans="11:17" x14ac:dyDescent="0.3">
      <c r="K275">
        <v>264</v>
      </c>
      <c r="L275" s="6">
        <f t="shared" si="19"/>
        <v>7.8687420947294559E+25</v>
      </c>
      <c r="N275">
        <f t="shared" si="20"/>
        <v>6600</v>
      </c>
      <c r="O275">
        <f t="shared" si="22"/>
        <v>1.1922336507165841E+22</v>
      </c>
      <c r="Q275">
        <f t="shared" si="21"/>
        <v>26.400000000000002</v>
      </c>
    </row>
    <row r="276" spans="11:17" x14ac:dyDescent="0.3">
      <c r="K276">
        <v>265</v>
      </c>
      <c r="L276" s="6">
        <f t="shared" si="19"/>
        <v>9.599865355569935E+25</v>
      </c>
      <c r="N276">
        <f t="shared" si="20"/>
        <v>6625</v>
      </c>
      <c r="O276">
        <f t="shared" si="22"/>
        <v>1.4490362800860278E+22</v>
      </c>
      <c r="Q276">
        <f t="shared" si="21"/>
        <v>26.5</v>
      </c>
    </row>
    <row r="277" spans="11:17" x14ac:dyDescent="0.3">
      <c r="K277">
        <v>266</v>
      </c>
      <c r="L277" s="6">
        <f t="shared" si="19"/>
        <v>1.1711835733795321E+26</v>
      </c>
      <c r="N277">
        <f t="shared" si="20"/>
        <v>6650</v>
      </c>
      <c r="O277">
        <f t="shared" si="22"/>
        <v>1.7611783058338829E+22</v>
      </c>
      <c r="Q277">
        <f t="shared" si="21"/>
        <v>26.6</v>
      </c>
    </row>
    <row r="278" spans="11:17" x14ac:dyDescent="0.3">
      <c r="K278">
        <v>267</v>
      </c>
      <c r="L278" s="6">
        <f t="shared" si="19"/>
        <v>1.428843959523029E+26</v>
      </c>
      <c r="N278">
        <f t="shared" si="20"/>
        <v>6675</v>
      </c>
      <c r="O278">
        <f t="shared" si="22"/>
        <v>2.1405902015326277E+22</v>
      </c>
      <c r="Q278">
        <f t="shared" si="21"/>
        <v>26.700000000000003</v>
      </c>
    </row>
    <row r="279" spans="11:17" x14ac:dyDescent="0.3">
      <c r="K279">
        <v>268</v>
      </c>
      <c r="L279" s="6">
        <f t="shared" si="19"/>
        <v>1.7431896306180954E+26</v>
      </c>
      <c r="N279">
        <f t="shared" si="20"/>
        <v>6700</v>
      </c>
      <c r="O279">
        <f t="shared" si="22"/>
        <v>2.6017755680867097E+22</v>
      </c>
      <c r="Q279">
        <f t="shared" si="21"/>
        <v>26.8</v>
      </c>
    </row>
    <row r="280" spans="11:17" x14ac:dyDescent="0.3">
      <c r="K280">
        <v>269</v>
      </c>
      <c r="L280" s="6">
        <f t="shared" si="19"/>
        <v>2.1266913493540762E+26</v>
      </c>
      <c r="N280">
        <f t="shared" si="20"/>
        <v>6725</v>
      </c>
      <c r="O280">
        <f t="shared" si="22"/>
        <v>3.1623663187421206E+22</v>
      </c>
      <c r="Q280">
        <f t="shared" si="21"/>
        <v>26.900000000000002</v>
      </c>
    </row>
    <row r="281" spans="11:17" x14ac:dyDescent="0.3">
      <c r="K281">
        <v>270</v>
      </c>
      <c r="L281" s="6">
        <f t="shared" si="19"/>
        <v>2.5945634462119731E+26</v>
      </c>
      <c r="N281">
        <f t="shared" si="20"/>
        <v>6750</v>
      </c>
      <c r="O281">
        <f t="shared" si="22"/>
        <v>3.8437976980918123E+22</v>
      </c>
      <c r="Q281">
        <f t="shared" si="21"/>
        <v>27</v>
      </c>
    </row>
    <row r="282" spans="11:17" x14ac:dyDescent="0.3">
      <c r="K282">
        <v>271</v>
      </c>
      <c r="L282" s="6">
        <f t="shared" si="19"/>
        <v>3.1653674043786073E+26</v>
      </c>
      <c r="N282">
        <f t="shared" si="20"/>
        <v>6775</v>
      </c>
      <c r="O282">
        <f t="shared" si="22"/>
        <v>4.6721290101529256E+22</v>
      </c>
      <c r="Q282">
        <f t="shared" si="21"/>
        <v>27.1</v>
      </c>
    </row>
    <row r="283" spans="11:17" x14ac:dyDescent="0.3">
      <c r="K283">
        <v>272</v>
      </c>
      <c r="L283" s="6">
        <f t="shared" si="19"/>
        <v>3.8617482333418999E+26</v>
      </c>
      <c r="N283">
        <f t="shared" si="20"/>
        <v>6800</v>
      </c>
      <c r="O283">
        <f t="shared" si="22"/>
        <v>5.6790415196204409E+22</v>
      </c>
      <c r="Q283">
        <f t="shared" si="21"/>
        <v>27.200000000000003</v>
      </c>
    </row>
    <row r="284" spans="11:17" x14ac:dyDescent="0.3">
      <c r="K284">
        <v>273</v>
      </c>
      <c r="L284" s="6">
        <f t="shared" si="19"/>
        <v>4.7113328446771178E+26</v>
      </c>
      <c r="N284">
        <f t="shared" si="20"/>
        <v>6825</v>
      </c>
      <c r="O284">
        <f t="shared" si="22"/>
        <v>6.9030517870727004E+22</v>
      </c>
      <c r="Q284">
        <f t="shared" si="21"/>
        <v>27.3</v>
      </c>
    </row>
    <row r="285" spans="11:17" x14ac:dyDescent="0.3">
      <c r="K285">
        <v>274</v>
      </c>
      <c r="L285" s="6">
        <f t="shared" si="19"/>
        <v>5.7478260705060836E+26</v>
      </c>
      <c r="N285">
        <f t="shared" si="20"/>
        <v>6850</v>
      </c>
      <c r="O285">
        <f t="shared" si="22"/>
        <v>8.3909869642424586E+22</v>
      </c>
      <c r="Q285">
        <f t="shared" si="21"/>
        <v>27.400000000000002</v>
      </c>
    </row>
    <row r="286" spans="11:17" x14ac:dyDescent="0.3">
      <c r="K286">
        <v>275</v>
      </c>
      <c r="L286" s="6">
        <f t="shared" si="19"/>
        <v>7.0123478060174216E+26</v>
      </c>
      <c r="N286">
        <f t="shared" si="20"/>
        <v>6875</v>
      </c>
      <c r="O286">
        <f t="shared" si="22"/>
        <v>1.0199778626934431E+23</v>
      </c>
      <c r="Q286">
        <f t="shared" si="21"/>
        <v>27.5</v>
      </c>
    </row>
    <row r="287" spans="11:17" x14ac:dyDescent="0.3">
      <c r="K287">
        <v>276</v>
      </c>
      <c r="L287" s="6">
        <f t="shared" si="19"/>
        <v>8.5550643233412533E+26</v>
      </c>
      <c r="N287">
        <f t="shared" si="20"/>
        <v>6900</v>
      </c>
      <c r="O287">
        <f t="shared" si="22"/>
        <v>1.2398643946871382E+23</v>
      </c>
      <c r="Q287">
        <f t="shared" si="21"/>
        <v>27.6</v>
      </c>
    </row>
    <row r="288" spans="11:17" x14ac:dyDescent="0.3">
      <c r="K288">
        <v>277</v>
      </c>
      <c r="L288" s="6">
        <f t="shared" si="19"/>
        <v>1.0437178474476329E+27</v>
      </c>
      <c r="N288">
        <f t="shared" si="20"/>
        <v>6925</v>
      </c>
      <c r="O288">
        <f t="shared" si="22"/>
        <v>1.5071737869279898E+23</v>
      </c>
      <c r="Q288">
        <f t="shared" si="21"/>
        <v>27.700000000000003</v>
      </c>
    </row>
    <row r="289" spans="11:17" x14ac:dyDescent="0.3">
      <c r="K289">
        <v>278</v>
      </c>
      <c r="L289" s="6">
        <f t="shared" si="19"/>
        <v>1.273335773886112E+27</v>
      </c>
      <c r="N289">
        <f t="shared" si="20"/>
        <v>6950</v>
      </c>
      <c r="O289">
        <f t="shared" si="22"/>
        <v>1.8321378041526792E+23</v>
      </c>
      <c r="Q289">
        <f t="shared" si="21"/>
        <v>27.8</v>
      </c>
    </row>
    <row r="290" spans="11:17" x14ac:dyDescent="0.3">
      <c r="K290">
        <v>279</v>
      </c>
      <c r="L290" s="6">
        <f t="shared" si="19"/>
        <v>1.5534696441410569E+27</v>
      </c>
      <c r="N290">
        <f t="shared" si="20"/>
        <v>6975</v>
      </c>
      <c r="O290">
        <f t="shared" si="22"/>
        <v>2.2271966224244544E+23</v>
      </c>
      <c r="Q290">
        <f t="shared" si="21"/>
        <v>27.900000000000002</v>
      </c>
    </row>
    <row r="291" spans="11:17" x14ac:dyDescent="0.3">
      <c r="K291">
        <v>280</v>
      </c>
      <c r="L291" s="6">
        <f t="shared" si="19"/>
        <v>1.895232965852089E+27</v>
      </c>
      <c r="N291">
        <f t="shared" si="20"/>
        <v>7000</v>
      </c>
      <c r="O291">
        <f t="shared" si="22"/>
        <v>2.7074756655029845E+23</v>
      </c>
      <c r="Q291">
        <f t="shared" si="21"/>
        <v>28</v>
      </c>
    </row>
    <row r="292" spans="11:17" x14ac:dyDescent="0.3">
      <c r="K292">
        <v>281</v>
      </c>
      <c r="L292" s="6">
        <f t="shared" si="19"/>
        <v>2.3121842183395487E+27</v>
      </c>
      <c r="N292">
        <f t="shared" si="20"/>
        <v>7025</v>
      </c>
      <c r="O292">
        <f t="shared" si="22"/>
        <v>3.2913654353587881E+23</v>
      </c>
      <c r="Q292">
        <f t="shared" si="21"/>
        <v>28.1</v>
      </c>
    </row>
    <row r="293" spans="11:17" x14ac:dyDescent="0.3">
      <c r="K293">
        <v>282</v>
      </c>
      <c r="L293" s="6">
        <f t="shared" si="19"/>
        <v>2.8208647463742491E+27</v>
      </c>
      <c r="N293">
        <f t="shared" si="20"/>
        <v>7050</v>
      </c>
      <c r="O293">
        <f t="shared" si="22"/>
        <v>4.0012265906017715E+23</v>
      </c>
      <c r="Q293">
        <f t="shared" si="21"/>
        <v>28.200000000000003</v>
      </c>
    </row>
    <row r="294" spans="11:17" x14ac:dyDescent="0.3">
      <c r="K294">
        <v>283</v>
      </c>
      <c r="L294" s="6">
        <f t="shared" si="19"/>
        <v>3.4414549905765836E+27</v>
      </c>
      <c r="N294">
        <f t="shared" si="20"/>
        <v>7075</v>
      </c>
      <c r="O294">
        <f t="shared" si="22"/>
        <v>4.8642473365040049E+23</v>
      </c>
      <c r="Q294">
        <f t="shared" si="21"/>
        <v>28.3</v>
      </c>
    </row>
    <row r="295" spans="11:17" x14ac:dyDescent="0.3">
      <c r="K295">
        <v>284</v>
      </c>
      <c r="L295" s="6">
        <f t="shared" si="19"/>
        <v>4.1985750885034318E+27</v>
      </c>
      <c r="N295">
        <f t="shared" si="20"/>
        <v>7100</v>
      </c>
      <c r="O295">
        <f t="shared" si="22"/>
        <v>5.9134860401456786E+23</v>
      </c>
      <c r="Q295">
        <f t="shared" si="21"/>
        <v>28.400000000000002</v>
      </c>
    </row>
    <row r="296" spans="11:17" x14ac:dyDescent="0.3">
      <c r="K296">
        <v>285</v>
      </c>
      <c r="L296" s="6">
        <f t="shared" si="19"/>
        <v>5.1222616079741869E+27</v>
      </c>
      <c r="N296">
        <f t="shared" si="20"/>
        <v>7125</v>
      </c>
      <c r="O296">
        <f t="shared" si="22"/>
        <v>7.1891390989111396E+23</v>
      </c>
      <c r="Q296">
        <f t="shared" si="21"/>
        <v>28.5</v>
      </c>
    </row>
    <row r="297" spans="11:17" x14ac:dyDescent="0.3">
      <c r="K297">
        <v>286</v>
      </c>
      <c r="L297" s="6">
        <f t="shared" si="19"/>
        <v>6.2491591617285073E+27</v>
      </c>
      <c r="N297">
        <f t="shared" si="20"/>
        <v>7150</v>
      </c>
      <c r="O297">
        <f t="shared" si="22"/>
        <v>8.7400827436762347E+23</v>
      </c>
      <c r="Q297">
        <f t="shared" si="21"/>
        <v>28.6</v>
      </c>
    </row>
    <row r="298" spans="11:17" x14ac:dyDescent="0.3">
      <c r="K298">
        <v>287</v>
      </c>
      <c r="L298" s="6">
        <f t="shared" si="19"/>
        <v>7.6239741773087802E+27</v>
      </c>
      <c r="N298">
        <f t="shared" si="20"/>
        <v>7175</v>
      </c>
      <c r="O298">
        <f t="shared" si="22"/>
        <v>1.062574798231189E+24</v>
      </c>
      <c r="Q298">
        <f t="shared" si="21"/>
        <v>28.700000000000003</v>
      </c>
    </row>
    <row r="299" spans="11:17" x14ac:dyDescent="0.3">
      <c r="K299">
        <v>288</v>
      </c>
      <c r="L299" s="6">
        <f t="shared" si="19"/>
        <v>9.3012484963167096E+27</v>
      </c>
      <c r="N299">
        <f t="shared" si="20"/>
        <v>7200</v>
      </c>
      <c r="O299">
        <f t="shared" si="22"/>
        <v>1.2918400689328765E+24</v>
      </c>
      <c r="Q299">
        <f t="shared" si="21"/>
        <v>28.8</v>
      </c>
    </row>
    <row r="300" spans="11:17" x14ac:dyDescent="0.3">
      <c r="K300">
        <v>289</v>
      </c>
      <c r="L300" s="6">
        <f t="shared" si="19"/>
        <v>1.1347523165506387E+28</v>
      </c>
      <c r="N300">
        <f t="shared" si="20"/>
        <v>7225</v>
      </c>
      <c r="O300">
        <f t="shared" si="22"/>
        <v>1.5705914415925794E+24</v>
      </c>
      <c r="Q300">
        <f t="shared" si="21"/>
        <v>28.900000000000002</v>
      </c>
    </row>
    <row r="301" spans="11:17" x14ac:dyDescent="0.3">
      <c r="K301">
        <v>290</v>
      </c>
      <c r="L301" s="6">
        <f t="shared" si="19"/>
        <v>1.3843978261917788E+28</v>
      </c>
      <c r="N301">
        <f t="shared" si="20"/>
        <v>7250</v>
      </c>
      <c r="O301">
        <f t="shared" si="22"/>
        <v>1.9095142430231432E+24</v>
      </c>
      <c r="Q301">
        <f t="shared" si="21"/>
        <v>29</v>
      </c>
    </row>
    <row r="302" spans="11:17" x14ac:dyDescent="0.3">
      <c r="K302">
        <v>291</v>
      </c>
      <c r="L302" s="6">
        <f t="shared" si="19"/>
        <v>1.6889653479539703E+28</v>
      </c>
      <c r="N302">
        <f t="shared" si="20"/>
        <v>7275</v>
      </c>
      <c r="O302">
        <f t="shared" si="22"/>
        <v>2.3216018528576912E+24</v>
      </c>
      <c r="Q302">
        <f t="shared" si="21"/>
        <v>29.1</v>
      </c>
    </row>
    <row r="303" spans="11:17" x14ac:dyDescent="0.3">
      <c r="K303">
        <v>292</v>
      </c>
      <c r="L303" s="6">
        <f t="shared" si="19"/>
        <v>2.0605377245038438E+28</v>
      </c>
      <c r="N303">
        <f t="shared" si="20"/>
        <v>7300</v>
      </c>
      <c r="O303">
        <f t="shared" si="22"/>
        <v>2.8226544171285532E+24</v>
      </c>
      <c r="Q303">
        <f t="shared" si="21"/>
        <v>29.200000000000003</v>
      </c>
    </row>
    <row r="304" spans="11:17" x14ac:dyDescent="0.3">
      <c r="K304">
        <v>293</v>
      </c>
      <c r="L304" s="6">
        <f t="shared" si="19"/>
        <v>2.5138560238946893E+28</v>
      </c>
      <c r="N304">
        <f t="shared" si="20"/>
        <v>7325</v>
      </c>
      <c r="O304">
        <f t="shared" si="22"/>
        <v>3.4318853568528183E+24</v>
      </c>
      <c r="Q304">
        <f t="shared" si="21"/>
        <v>29.3</v>
      </c>
    </row>
    <row r="305" spans="11:17" x14ac:dyDescent="0.3">
      <c r="K305">
        <v>294</v>
      </c>
      <c r="L305" s="6">
        <f t="shared" si="19"/>
        <v>3.0669043491515206E+28</v>
      </c>
      <c r="N305">
        <f t="shared" si="20"/>
        <v>7350</v>
      </c>
      <c r="O305">
        <f t="shared" si="22"/>
        <v>4.1726589784374431E+24</v>
      </c>
      <c r="Q305">
        <f t="shared" si="21"/>
        <v>29.400000000000002</v>
      </c>
    </row>
    <row r="306" spans="11:17" x14ac:dyDescent="0.3">
      <c r="K306">
        <v>295</v>
      </c>
      <c r="L306" s="6">
        <f t="shared" si="19"/>
        <v>3.7416233059648554E+28</v>
      </c>
      <c r="N306">
        <f t="shared" si="20"/>
        <v>7375</v>
      </c>
      <c r="O306">
        <f t="shared" si="22"/>
        <v>5.0733875335116681E+24</v>
      </c>
      <c r="Q306">
        <f t="shared" si="21"/>
        <v>29.5</v>
      </c>
    </row>
    <row r="307" spans="11:17" x14ac:dyDescent="0.3">
      <c r="K307">
        <v>296</v>
      </c>
      <c r="L307" s="6">
        <f t="shared" si="19"/>
        <v>4.5647804332771231E+28</v>
      </c>
      <c r="N307">
        <f t="shared" si="20"/>
        <v>7400</v>
      </c>
      <c r="O307">
        <f t="shared" si="22"/>
        <v>6.1686222071312475E+24</v>
      </c>
      <c r="Q307">
        <f t="shared" si="21"/>
        <v>29.6</v>
      </c>
    </row>
    <row r="308" spans="11:17" x14ac:dyDescent="0.3">
      <c r="K308">
        <v>297</v>
      </c>
      <c r="L308" s="6">
        <f t="shared" si="19"/>
        <v>5.5690321285980896E+28</v>
      </c>
      <c r="N308">
        <f t="shared" si="20"/>
        <v>7425</v>
      </c>
      <c r="O308">
        <f t="shared" si="22"/>
        <v>7.5003799711758777E+24</v>
      </c>
      <c r="Q308">
        <f t="shared" si="21"/>
        <v>29.700000000000003</v>
      </c>
    </row>
    <row r="309" spans="11:17" x14ac:dyDescent="0.3">
      <c r="K309">
        <v>298</v>
      </c>
      <c r="L309" s="6">
        <f t="shared" si="19"/>
        <v>6.7942191968896691E+28</v>
      </c>
      <c r="N309">
        <f t="shared" si="20"/>
        <v>7450</v>
      </c>
      <c r="O309">
        <f t="shared" si="22"/>
        <v>9.1197573112613013E+24</v>
      </c>
      <c r="Q309">
        <f t="shared" si="21"/>
        <v>29.8</v>
      </c>
    </row>
    <row r="310" spans="11:17" x14ac:dyDescent="0.3">
      <c r="K310">
        <v>299</v>
      </c>
      <c r="L310" s="6">
        <f t="shared" si="19"/>
        <v>8.2889474202053952E+28</v>
      </c>
      <c r="N310">
        <f t="shared" si="20"/>
        <v>7475</v>
      </c>
      <c r="O310">
        <f t="shared" si="22"/>
        <v>1.1088892869839995E+25</v>
      </c>
      <c r="Q310">
        <f t="shared" si="21"/>
        <v>29.900000000000002</v>
      </c>
    </row>
    <row r="311" spans="11:17" x14ac:dyDescent="0.3">
      <c r="K311">
        <v>300</v>
      </c>
      <c r="L311" s="6">
        <f t="shared" si="19"/>
        <v>1.0112515852650581E+29</v>
      </c>
      <c r="N311">
        <f t="shared" si="20"/>
        <v>7500</v>
      </c>
      <c r="O311">
        <f t="shared" si="22"/>
        <v>1.3483354470200776E+25</v>
      </c>
      <c r="Q311">
        <f t="shared" si="21"/>
        <v>30</v>
      </c>
    </row>
    <row r="312" spans="11:17" x14ac:dyDescent="0.3">
      <c r="K312">
        <v>301</v>
      </c>
      <c r="L312" s="6">
        <f t="shared" si="19"/>
        <v>1.233726934023371E+29</v>
      </c>
      <c r="N312">
        <f t="shared" si="20"/>
        <v>7525</v>
      </c>
      <c r="O312">
        <f t="shared" si="22"/>
        <v>1.6395042312602937E+25</v>
      </c>
      <c r="Q312">
        <f t="shared" si="21"/>
        <v>30.1</v>
      </c>
    </row>
    <row r="313" spans="11:17" x14ac:dyDescent="0.3">
      <c r="K313">
        <v>302</v>
      </c>
      <c r="L313" s="6">
        <f t="shared" si="19"/>
        <v>1.5051468595085123E+29</v>
      </c>
      <c r="N313">
        <f t="shared" si="20"/>
        <v>7550</v>
      </c>
      <c r="O313">
        <f t="shared" si="22"/>
        <v>1.993571999349023E+25</v>
      </c>
      <c r="Q313">
        <f t="shared" si="21"/>
        <v>30.200000000000003</v>
      </c>
    </row>
    <row r="314" spans="11:17" x14ac:dyDescent="0.3">
      <c r="K314">
        <v>303</v>
      </c>
      <c r="L314" s="6">
        <f t="shared" si="19"/>
        <v>1.8362791686003853E+29</v>
      </c>
      <c r="N314">
        <f t="shared" si="20"/>
        <v>7575</v>
      </c>
      <c r="O314">
        <f t="shared" si="22"/>
        <v>2.4241309156440728E+25</v>
      </c>
      <c r="Q314">
        <f t="shared" si="21"/>
        <v>30.3</v>
      </c>
    </row>
    <row r="315" spans="11:17" x14ac:dyDescent="0.3">
      <c r="K315">
        <v>304</v>
      </c>
      <c r="L315" s="6">
        <f t="shared" si="19"/>
        <v>2.2402605856924697E+29</v>
      </c>
      <c r="N315">
        <f t="shared" si="20"/>
        <v>7600</v>
      </c>
      <c r="O315">
        <f t="shared" si="22"/>
        <v>2.947711296963776E+25</v>
      </c>
      <c r="Q315">
        <f t="shared" si="21"/>
        <v>30.400000000000002</v>
      </c>
    </row>
    <row r="316" spans="11:17" x14ac:dyDescent="0.3">
      <c r="K316">
        <v>305</v>
      </c>
      <c r="L316" s="6">
        <f t="shared" si="19"/>
        <v>2.7331179145448128E+29</v>
      </c>
      <c r="N316">
        <f t="shared" si="20"/>
        <v>7625</v>
      </c>
      <c r="O316">
        <f t="shared" si="22"/>
        <v>3.5844169371079512E+25</v>
      </c>
      <c r="Q316">
        <f t="shared" si="21"/>
        <v>30.5</v>
      </c>
    </row>
    <row r="317" spans="11:17" x14ac:dyDescent="0.3">
      <c r="K317">
        <v>306</v>
      </c>
      <c r="L317" s="6">
        <f t="shared" si="19"/>
        <v>3.3344038557446717E+29</v>
      </c>
      <c r="N317">
        <f t="shared" si="20"/>
        <v>7650</v>
      </c>
      <c r="O317">
        <f t="shared" si="22"/>
        <v>4.3586978506466301E+25</v>
      </c>
      <c r="Q317">
        <f t="shared" si="21"/>
        <v>30.6</v>
      </c>
    </row>
    <row r="318" spans="11:17" x14ac:dyDescent="0.3">
      <c r="K318">
        <v>307</v>
      </c>
      <c r="L318" s="6">
        <f t="shared" si="19"/>
        <v>4.0679727040084995E+29</v>
      </c>
      <c r="N318">
        <f t="shared" si="20"/>
        <v>7675</v>
      </c>
      <c r="O318">
        <f t="shared" si="22"/>
        <v>5.3002901680892503E+25</v>
      </c>
      <c r="Q318">
        <f t="shared" si="21"/>
        <v>30.700000000000003</v>
      </c>
    </row>
    <row r="319" spans="11:17" x14ac:dyDescent="0.3">
      <c r="K319">
        <v>308</v>
      </c>
      <c r="L319" s="6">
        <f t="shared" si="19"/>
        <v>4.9629266988903686E+29</v>
      </c>
      <c r="N319">
        <f t="shared" si="20"/>
        <v>7700</v>
      </c>
      <c r="O319">
        <f t="shared" si="22"/>
        <v>6.445359349208271E+25</v>
      </c>
      <c r="Q319">
        <f t="shared" si="21"/>
        <v>30.8</v>
      </c>
    </row>
    <row r="320" spans="11:17" x14ac:dyDescent="0.3">
      <c r="K320">
        <v>309</v>
      </c>
      <c r="L320" s="6">
        <f t="shared" si="19"/>
        <v>6.0547705726462494E+29</v>
      </c>
      <c r="N320">
        <f t="shared" si="20"/>
        <v>7725</v>
      </c>
      <c r="O320">
        <f t="shared" si="22"/>
        <v>7.8378907089271841E+25</v>
      </c>
      <c r="Q320">
        <f t="shared" si="21"/>
        <v>30.900000000000002</v>
      </c>
    </row>
    <row r="321" spans="11:17" x14ac:dyDescent="0.3">
      <c r="K321">
        <v>310</v>
      </c>
      <c r="L321" s="6">
        <f t="shared" si="19"/>
        <v>7.3868200986284247E+29</v>
      </c>
      <c r="N321">
        <f t="shared" si="20"/>
        <v>7750</v>
      </c>
      <c r="O321">
        <f t="shared" si="22"/>
        <v>9.5313807724237741E+25</v>
      </c>
      <c r="Q321">
        <f t="shared" si="21"/>
        <v>31</v>
      </c>
    </row>
    <row r="322" spans="11:17" x14ac:dyDescent="0.3">
      <c r="K322">
        <v>311</v>
      </c>
      <c r="L322" s="6">
        <f t="shared" si="19"/>
        <v>9.0119205203266789E+29</v>
      </c>
      <c r="N322">
        <f t="shared" si="20"/>
        <v>7775</v>
      </c>
      <c r="O322">
        <f t="shared" si="22"/>
        <v>1.1590894559905696E+26</v>
      </c>
      <c r="Q322">
        <f t="shared" si="21"/>
        <v>31.1</v>
      </c>
    </row>
    <row r="323" spans="11:17" x14ac:dyDescent="0.3">
      <c r="K323">
        <v>312</v>
      </c>
      <c r="L323" s="6">
        <f t="shared" si="19"/>
        <v>1.0994543034798547E+30</v>
      </c>
      <c r="N323">
        <f t="shared" si="20"/>
        <v>7800</v>
      </c>
      <c r="O323">
        <f t="shared" si="22"/>
        <v>1.4095567993331471E+26</v>
      </c>
      <c r="Q323">
        <f t="shared" si="21"/>
        <v>31.200000000000003</v>
      </c>
    </row>
    <row r="324" spans="11:17" x14ac:dyDescent="0.3">
      <c r="K324">
        <v>313</v>
      </c>
      <c r="L324" s="6">
        <f t="shared" si="19"/>
        <v>1.3413342502454226E+30</v>
      </c>
      <c r="N324">
        <f t="shared" si="20"/>
        <v>7825</v>
      </c>
      <c r="O324">
        <f t="shared" si="22"/>
        <v>1.7141651760324889E+26</v>
      </c>
      <c r="Q324">
        <f t="shared" si="21"/>
        <v>31.3</v>
      </c>
    </row>
    <row r="325" spans="11:17" x14ac:dyDescent="0.3">
      <c r="K325">
        <v>314</v>
      </c>
      <c r="L325" s="6">
        <f t="shared" si="19"/>
        <v>1.6364277852994159E+30</v>
      </c>
      <c r="N325">
        <f t="shared" si="20"/>
        <v>7850</v>
      </c>
      <c r="O325">
        <f t="shared" si="22"/>
        <v>2.0846213825470265E+26</v>
      </c>
      <c r="Q325">
        <f t="shared" si="21"/>
        <v>31.400000000000002</v>
      </c>
    </row>
    <row r="326" spans="11:17" x14ac:dyDescent="0.3">
      <c r="K326">
        <v>315</v>
      </c>
      <c r="L326" s="6">
        <f t="shared" si="19"/>
        <v>1.9964418980652869E+30</v>
      </c>
      <c r="N326">
        <f t="shared" si="20"/>
        <v>7875</v>
      </c>
      <c r="O326">
        <f t="shared" si="22"/>
        <v>2.5351643150035388E+26</v>
      </c>
      <c r="Q326">
        <f t="shared" si="21"/>
        <v>31.5</v>
      </c>
    </row>
    <row r="327" spans="11:17" x14ac:dyDescent="0.3">
      <c r="K327">
        <v>316</v>
      </c>
      <c r="L327" s="6">
        <f t="shared" si="19"/>
        <v>2.4356591156396498E+30</v>
      </c>
      <c r="N327">
        <f t="shared" si="20"/>
        <v>7900</v>
      </c>
      <c r="O327">
        <f t="shared" si="22"/>
        <v>3.0831128046071517E+26</v>
      </c>
      <c r="Q327">
        <f t="shared" si="21"/>
        <v>31.6</v>
      </c>
    </row>
    <row r="328" spans="11:17" x14ac:dyDescent="0.3">
      <c r="K328">
        <v>317</v>
      </c>
      <c r="L328" s="6">
        <f t="shared" si="19"/>
        <v>2.9715041210803727E+30</v>
      </c>
      <c r="N328">
        <f t="shared" si="20"/>
        <v>7925</v>
      </c>
      <c r="O328">
        <f t="shared" si="22"/>
        <v>3.7495320139815425E+26</v>
      </c>
      <c r="Q328">
        <f t="shared" si="21"/>
        <v>31.700000000000003</v>
      </c>
    </row>
    <row r="329" spans="11:17" x14ac:dyDescent="0.3">
      <c r="K329">
        <v>318</v>
      </c>
      <c r="L329" s="6">
        <f t="shared" si="19"/>
        <v>3.6252350277180541E+30</v>
      </c>
      <c r="N329">
        <f t="shared" si="20"/>
        <v>7950</v>
      </c>
      <c r="O329">
        <f t="shared" si="22"/>
        <v>4.5600440600227093E+26</v>
      </c>
      <c r="Q329">
        <f t="shared" si="21"/>
        <v>31.8</v>
      </c>
    </row>
    <row r="330" spans="11:17" x14ac:dyDescent="0.3">
      <c r="K330">
        <v>319</v>
      </c>
      <c r="L330" s="6">
        <f t="shared" si="19"/>
        <v>4.4227867338160267E+30</v>
      </c>
      <c r="N330">
        <f t="shared" si="20"/>
        <v>7975</v>
      </c>
      <c r="O330">
        <f t="shared" si="22"/>
        <v>5.5458140862896888E+26</v>
      </c>
      <c r="Q330">
        <f t="shared" si="21"/>
        <v>31.900000000000002</v>
      </c>
    </row>
    <row r="331" spans="11:17" x14ac:dyDescent="0.3">
      <c r="K331">
        <v>320</v>
      </c>
      <c r="L331" s="6">
        <f t="shared" si="19"/>
        <v>5.395799815255551E+30</v>
      </c>
      <c r="N331">
        <f t="shared" si="20"/>
        <v>8000</v>
      </c>
      <c r="O331">
        <f t="shared" si="22"/>
        <v>6.7447497690694392E+26</v>
      </c>
      <c r="Q331">
        <f t="shared" si="21"/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F14A-DA25-42D0-802E-71EDFECD1A9A}">
  <dimension ref="H2:AF331"/>
  <sheetViews>
    <sheetView topLeftCell="G1" workbookViewId="0">
      <selection activeCell="L3" sqref="L3"/>
    </sheetView>
  </sheetViews>
  <sheetFormatPr defaultRowHeight="14.4" x14ac:dyDescent="0.3"/>
  <cols>
    <col min="8" max="8" width="25" customWidth="1"/>
    <col min="9" max="9" width="16.5546875" customWidth="1"/>
    <col min="11" max="11" width="9.77734375" style="5" customWidth="1"/>
    <col min="12" max="12" width="37" style="9" customWidth="1"/>
    <col min="13" max="13" width="35.5546875" style="9" customWidth="1"/>
    <col min="14" max="14" width="26.21875" style="13" customWidth="1"/>
    <col min="15" max="15" width="24.33203125" style="5" customWidth="1"/>
    <col min="17" max="18" width="17.21875" style="5" customWidth="1"/>
  </cols>
  <sheetData>
    <row r="2" spans="8:32" x14ac:dyDescent="0.3">
      <c r="H2" s="4"/>
    </row>
    <row r="3" spans="8:32" x14ac:dyDescent="0.3">
      <c r="H3" s="4"/>
      <c r="I3" t="s">
        <v>42</v>
      </c>
    </row>
    <row r="4" spans="8:32" x14ac:dyDescent="0.3">
      <c r="H4" s="4"/>
    </row>
    <row r="5" spans="8:32" x14ac:dyDescent="0.3">
      <c r="H5" s="4" t="s">
        <v>30</v>
      </c>
    </row>
    <row r="6" spans="8:32" x14ac:dyDescent="0.3">
      <c r="H6" s="4" t="s">
        <v>31</v>
      </c>
      <c r="I6">
        <v>1000</v>
      </c>
    </row>
    <row r="7" spans="8:32" x14ac:dyDescent="0.3">
      <c r="H7" s="4" t="s">
        <v>32</v>
      </c>
      <c r="I7">
        <v>1.22</v>
      </c>
    </row>
    <row r="8" spans="8:32" x14ac:dyDescent="0.3">
      <c r="H8" s="4" t="s">
        <v>39</v>
      </c>
      <c r="I8">
        <v>25</v>
      </c>
      <c r="N8" s="13" t="s">
        <v>44</v>
      </c>
    </row>
    <row r="9" spans="8:32" x14ac:dyDescent="0.3">
      <c r="H9" s="4"/>
    </row>
    <row r="10" spans="8:32" x14ac:dyDescent="0.3">
      <c r="H10" s="4" t="s">
        <v>40</v>
      </c>
      <c r="I10">
        <v>-100</v>
      </c>
      <c r="K10" s="1" t="s">
        <v>33</v>
      </c>
      <c r="L10" s="10" t="s">
        <v>34</v>
      </c>
      <c r="M10" s="10" t="s">
        <v>35</v>
      </c>
      <c r="N10" s="14" t="s">
        <v>36</v>
      </c>
      <c r="O10" s="1" t="s">
        <v>37</v>
      </c>
      <c r="P10" s="7"/>
      <c r="Q10" s="1" t="s">
        <v>38</v>
      </c>
      <c r="R10" s="1" t="s">
        <v>38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</row>
    <row r="11" spans="8:32" x14ac:dyDescent="0.3">
      <c r="H11" s="4" t="s">
        <v>41</v>
      </c>
      <c r="I11">
        <v>-0.5</v>
      </c>
      <c r="K11" s="5">
        <v>0</v>
      </c>
      <c r="L11" s="11">
        <f>$I$6*($I$7^K11)</f>
        <v>1000</v>
      </c>
      <c r="M11" s="9">
        <v>0</v>
      </c>
      <c r="N11" s="13">
        <f>K11*$I$8</f>
        <v>0</v>
      </c>
      <c r="O11" s="5" t="e">
        <f>L11/N11</f>
        <v>#DIV/0!</v>
      </c>
      <c r="Q11" s="5">
        <f>K11*$I$11</f>
        <v>0</v>
      </c>
      <c r="R11" s="16">
        <f>K11*$I$12</f>
        <v>0</v>
      </c>
    </row>
    <row r="12" spans="8:32" x14ac:dyDescent="0.3">
      <c r="H12" s="4" t="s">
        <v>43</v>
      </c>
      <c r="I12">
        <v>5.0000000000000001E-4</v>
      </c>
      <c r="K12" s="5">
        <v>1</v>
      </c>
      <c r="L12" s="11">
        <f t="shared" ref="L12:L75" si="0">$I$6*($I$7^K12)</f>
        <v>1220</v>
      </c>
      <c r="M12" s="12">
        <f>M11+L11</f>
        <v>1000</v>
      </c>
      <c r="N12" s="13">
        <f t="shared" ref="N12:N75" si="1">K12*$I$8</f>
        <v>25</v>
      </c>
      <c r="O12" s="5">
        <f t="shared" ref="O12:O74" si="2">L12/N12</f>
        <v>48.8</v>
      </c>
      <c r="Q12" s="5">
        <f t="shared" ref="Q12:Q75" si="3">K12*$I$11</f>
        <v>-0.5</v>
      </c>
      <c r="R12" s="16">
        <f t="shared" ref="R12:R75" si="4">K12*$I$12</f>
        <v>5.0000000000000001E-4</v>
      </c>
    </row>
    <row r="13" spans="8:32" x14ac:dyDescent="0.3">
      <c r="H13" s="4"/>
      <c r="K13" s="5">
        <v>2</v>
      </c>
      <c r="L13" s="11">
        <f t="shared" si="0"/>
        <v>1488.3999999999999</v>
      </c>
      <c r="M13" s="12">
        <f>M12+L12</f>
        <v>2220</v>
      </c>
      <c r="N13" s="13">
        <f t="shared" si="1"/>
        <v>50</v>
      </c>
      <c r="O13" s="17">
        <f t="shared" si="2"/>
        <v>29.767999999999997</v>
      </c>
      <c r="Q13" s="5">
        <f t="shared" si="3"/>
        <v>-1</v>
      </c>
      <c r="R13" s="16">
        <f t="shared" si="4"/>
        <v>1E-3</v>
      </c>
    </row>
    <row r="14" spans="8:32" x14ac:dyDescent="0.3">
      <c r="H14" s="4"/>
      <c r="K14" s="5">
        <v>3</v>
      </c>
      <c r="L14" s="11">
        <f t="shared" si="0"/>
        <v>1815.848</v>
      </c>
      <c r="M14" s="11">
        <f>M13+L13</f>
        <v>3708.3999999999996</v>
      </c>
      <c r="N14" s="13">
        <f t="shared" si="1"/>
        <v>75</v>
      </c>
      <c r="O14" s="17">
        <f t="shared" si="2"/>
        <v>24.211306666666665</v>
      </c>
      <c r="Q14" s="5">
        <f t="shared" si="3"/>
        <v>-1.5</v>
      </c>
      <c r="R14" s="16">
        <f t="shared" si="4"/>
        <v>1.5E-3</v>
      </c>
    </row>
    <row r="15" spans="8:32" x14ac:dyDescent="0.3">
      <c r="H15" s="4"/>
      <c r="K15" s="5">
        <v>4</v>
      </c>
      <c r="L15" s="11">
        <f t="shared" si="0"/>
        <v>2215.3345599999998</v>
      </c>
      <c r="M15" s="11">
        <f t="shared" ref="M15:M78" si="5">M14+L14</f>
        <v>5524.2479999999996</v>
      </c>
      <c r="N15" s="13">
        <f t="shared" si="1"/>
        <v>100</v>
      </c>
      <c r="O15" s="17">
        <f t="shared" si="2"/>
        <v>22.153345599999998</v>
      </c>
      <c r="Q15" s="5">
        <f t="shared" si="3"/>
        <v>-2</v>
      </c>
      <c r="R15" s="16">
        <f t="shared" si="4"/>
        <v>2E-3</v>
      </c>
    </row>
    <row r="16" spans="8:32" x14ac:dyDescent="0.3">
      <c r="H16" s="4"/>
      <c r="K16" s="5">
        <v>5</v>
      </c>
      <c r="L16" s="11">
        <f t="shared" si="0"/>
        <v>2702.7081631999995</v>
      </c>
      <c r="M16" s="11">
        <f t="shared" si="5"/>
        <v>7739.5825599999989</v>
      </c>
      <c r="N16" s="13">
        <f t="shared" si="1"/>
        <v>125</v>
      </c>
      <c r="O16" s="17">
        <f t="shared" si="2"/>
        <v>21.621665305599997</v>
      </c>
      <c r="Q16" s="5">
        <f t="shared" si="3"/>
        <v>-2.5</v>
      </c>
      <c r="R16" s="16">
        <f t="shared" si="4"/>
        <v>2.5000000000000001E-3</v>
      </c>
    </row>
    <row r="17" spans="8:18" x14ac:dyDescent="0.3">
      <c r="H17" s="4"/>
      <c r="K17" s="5">
        <v>6</v>
      </c>
      <c r="L17" s="11">
        <f t="shared" si="0"/>
        <v>3297.3039591039992</v>
      </c>
      <c r="M17" s="11">
        <f t="shared" si="5"/>
        <v>10442.290723199998</v>
      </c>
      <c r="N17" s="13">
        <f t="shared" si="1"/>
        <v>150</v>
      </c>
      <c r="O17" s="17">
        <f t="shared" si="2"/>
        <v>21.982026394026661</v>
      </c>
      <c r="Q17" s="5">
        <f t="shared" si="3"/>
        <v>-3</v>
      </c>
      <c r="R17" s="16">
        <f t="shared" si="4"/>
        <v>3.0000000000000001E-3</v>
      </c>
    </row>
    <row r="18" spans="8:18" x14ac:dyDescent="0.3">
      <c r="H18" s="4"/>
      <c r="K18" s="5">
        <v>7</v>
      </c>
      <c r="L18" s="11">
        <f>$I$6*($I$7^K18)</f>
        <v>4022.7108301068793</v>
      </c>
      <c r="M18" s="11">
        <f t="shared" si="5"/>
        <v>13739.594682303998</v>
      </c>
      <c r="N18" s="13">
        <f t="shared" si="1"/>
        <v>175</v>
      </c>
      <c r="O18" s="17">
        <f t="shared" si="2"/>
        <v>22.986919029182168</v>
      </c>
      <c r="Q18" s="5">
        <f t="shared" si="3"/>
        <v>-3.5</v>
      </c>
      <c r="R18" s="16">
        <f t="shared" si="4"/>
        <v>3.5000000000000001E-3</v>
      </c>
    </row>
    <row r="19" spans="8:18" x14ac:dyDescent="0.3">
      <c r="H19" s="4"/>
      <c r="K19" s="5">
        <v>8</v>
      </c>
      <c r="L19" s="11">
        <f t="shared" si="0"/>
        <v>4907.7072127303918</v>
      </c>
      <c r="M19" s="11">
        <f t="shared" si="5"/>
        <v>17762.305512410876</v>
      </c>
      <c r="N19" s="13">
        <f t="shared" si="1"/>
        <v>200</v>
      </c>
      <c r="O19" s="17">
        <f t="shared" si="2"/>
        <v>24.538536063651961</v>
      </c>
      <c r="Q19" s="5">
        <f t="shared" si="3"/>
        <v>-4</v>
      </c>
      <c r="R19" s="16">
        <f t="shared" si="4"/>
        <v>4.0000000000000001E-3</v>
      </c>
    </row>
    <row r="20" spans="8:18" x14ac:dyDescent="0.3">
      <c r="H20" s="4"/>
      <c r="K20" s="5">
        <v>9</v>
      </c>
      <c r="L20" s="11">
        <f t="shared" si="0"/>
        <v>5987.402799531078</v>
      </c>
      <c r="M20" s="11">
        <f t="shared" si="5"/>
        <v>22670.012725141267</v>
      </c>
      <c r="N20" s="13">
        <f t="shared" si="1"/>
        <v>225</v>
      </c>
      <c r="O20" s="17">
        <f t="shared" si="2"/>
        <v>26.610679109027014</v>
      </c>
      <c r="Q20" s="5">
        <f t="shared" si="3"/>
        <v>-4.5</v>
      </c>
      <c r="R20" s="16">
        <f t="shared" si="4"/>
        <v>4.5000000000000005E-3</v>
      </c>
    </row>
    <row r="21" spans="8:18" x14ac:dyDescent="0.3">
      <c r="H21" s="4"/>
      <c r="K21" s="5">
        <v>10</v>
      </c>
      <c r="L21" s="11">
        <f t="shared" si="0"/>
        <v>7304.6314154279153</v>
      </c>
      <c r="M21" s="11">
        <f t="shared" si="5"/>
        <v>28657.415524672346</v>
      </c>
      <c r="N21" s="13">
        <f t="shared" si="1"/>
        <v>250</v>
      </c>
      <c r="O21" s="17">
        <f t="shared" si="2"/>
        <v>29.218525661711659</v>
      </c>
      <c r="Q21" s="5">
        <f t="shared" si="3"/>
        <v>-5</v>
      </c>
      <c r="R21" s="16">
        <f t="shared" si="4"/>
        <v>5.0000000000000001E-3</v>
      </c>
    </row>
    <row r="22" spans="8:18" x14ac:dyDescent="0.3">
      <c r="H22" s="4"/>
      <c r="K22" s="5">
        <v>11</v>
      </c>
      <c r="L22" s="11">
        <f t="shared" si="0"/>
        <v>8911.6503268220549</v>
      </c>
      <c r="M22" s="11">
        <f t="shared" si="5"/>
        <v>35962.046940100263</v>
      </c>
      <c r="N22" s="13">
        <f t="shared" si="1"/>
        <v>275</v>
      </c>
      <c r="O22" s="17">
        <f>L22/N22</f>
        <v>32.406001188443838</v>
      </c>
      <c r="Q22" s="5">
        <f t="shared" si="3"/>
        <v>-5.5</v>
      </c>
      <c r="R22" s="16">
        <f t="shared" si="4"/>
        <v>5.4999999999999997E-3</v>
      </c>
    </row>
    <row r="23" spans="8:18" x14ac:dyDescent="0.3">
      <c r="H23" s="4"/>
      <c r="K23" s="5">
        <v>12</v>
      </c>
      <c r="L23" s="11">
        <f t="shared" si="0"/>
        <v>10872.213398722908</v>
      </c>
      <c r="M23" s="11">
        <f t="shared" si="5"/>
        <v>44873.697266922318</v>
      </c>
      <c r="N23" s="13">
        <f t="shared" si="1"/>
        <v>300</v>
      </c>
      <c r="O23" s="17">
        <f t="shared" si="2"/>
        <v>36.240711329076362</v>
      </c>
      <c r="Q23" s="5">
        <f t="shared" si="3"/>
        <v>-6</v>
      </c>
      <c r="R23" s="16">
        <f t="shared" si="4"/>
        <v>6.0000000000000001E-3</v>
      </c>
    </row>
    <row r="24" spans="8:18" x14ac:dyDescent="0.3">
      <c r="H24" s="4"/>
      <c r="K24" s="5">
        <v>13</v>
      </c>
      <c r="L24" s="11">
        <f t="shared" si="0"/>
        <v>13264.100346441946</v>
      </c>
      <c r="M24" s="11">
        <f t="shared" si="5"/>
        <v>55745.910665645228</v>
      </c>
      <c r="N24" s="13">
        <f t="shared" si="1"/>
        <v>325</v>
      </c>
      <c r="O24" s="17">
        <f t="shared" si="2"/>
        <v>40.812616450590603</v>
      </c>
      <c r="Q24" s="5">
        <f t="shared" si="3"/>
        <v>-6.5</v>
      </c>
      <c r="R24" s="16">
        <f t="shared" si="4"/>
        <v>6.5000000000000006E-3</v>
      </c>
    </row>
    <row r="25" spans="8:18" x14ac:dyDescent="0.3">
      <c r="H25" s="4"/>
      <c r="K25" s="5">
        <v>14</v>
      </c>
      <c r="L25" s="11">
        <f t="shared" si="0"/>
        <v>16182.202422659173</v>
      </c>
      <c r="M25" s="11">
        <f t="shared" si="5"/>
        <v>69010.011012087169</v>
      </c>
      <c r="N25" s="13">
        <f t="shared" si="1"/>
        <v>350</v>
      </c>
      <c r="O25" s="17">
        <f t="shared" si="2"/>
        <v>46.234864064740492</v>
      </c>
      <c r="Q25" s="5">
        <f t="shared" si="3"/>
        <v>-7</v>
      </c>
      <c r="R25" s="16">
        <f t="shared" si="4"/>
        <v>7.0000000000000001E-3</v>
      </c>
    </row>
    <row r="26" spans="8:18" x14ac:dyDescent="0.3">
      <c r="H26" s="4"/>
      <c r="K26" s="5">
        <v>15</v>
      </c>
      <c r="L26" s="11">
        <f t="shared" si="0"/>
        <v>19742.286955644195</v>
      </c>
      <c r="M26" s="11">
        <f t="shared" si="5"/>
        <v>85192.213434746343</v>
      </c>
      <c r="N26" s="13">
        <f t="shared" si="1"/>
        <v>375</v>
      </c>
      <c r="O26" s="17">
        <f t="shared" si="2"/>
        <v>52.646098548384522</v>
      </c>
      <c r="Q26" s="5">
        <f t="shared" si="3"/>
        <v>-7.5</v>
      </c>
      <c r="R26" s="16">
        <f t="shared" si="4"/>
        <v>7.4999999999999997E-3</v>
      </c>
    </row>
    <row r="27" spans="8:18" x14ac:dyDescent="0.3">
      <c r="H27" s="4"/>
      <c r="K27" s="5">
        <v>16</v>
      </c>
      <c r="L27" s="11">
        <f t="shared" si="0"/>
        <v>24085.590085885913</v>
      </c>
      <c r="M27" s="11">
        <f t="shared" si="5"/>
        <v>104934.50039039055</v>
      </c>
      <c r="N27" s="13">
        <f t="shared" si="1"/>
        <v>400</v>
      </c>
      <c r="O27" s="17">
        <f t="shared" si="2"/>
        <v>60.213975214714786</v>
      </c>
      <c r="Q27" s="5">
        <f t="shared" si="3"/>
        <v>-8</v>
      </c>
      <c r="R27" s="16">
        <f t="shared" si="4"/>
        <v>8.0000000000000002E-3</v>
      </c>
    </row>
    <row r="28" spans="8:18" x14ac:dyDescent="0.3">
      <c r="H28" s="4"/>
      <c r="K28" s="5">
        <v>17</v>
      </c>
      <c r="L28" s="11">
        <f t="shared" si="0"/>
        <v>29384.419904780811</v>
      </c>
      <c r="M28" s="11">
        <f t="shared" si="5"/>
        <v>129020.09047627645</v>
      </c>
      <c r="N28" s="13">
        <f t="shared" si="1"/>
        <v>425</v>
      </c>
      <c r="O28" s="17">
        <f t="shared" si="2"/>
        <v>69.13981154066073</v>
      </c>
      <c r="Q28" s="5">
        <f t="shared" si="3"/>
        <v>-8.5</v>
      </c>
      <c r="R28" s="16">
        <f t="shared" si="4"/>
        <v>8.5000000000000006E-3</v>
      </c>
    </row>
    <row r="29" spans="8:18" x14ac:dyDescent="0.3">
      <c r="H29" s="4"/>
      <c r="K29" s="5">
        <v>18</v>
      </c>
      <c r="L29" s="11">
        <f t="shared" si="0"/>
        <v>35848.992283832587</v>
      </c>
      <c r="M29" s="11">
        <f t="shared" si="5"/>
        <v>158404.51038105728</v>
      </c>
      <c r="N29" s="13">
        <f t="shared" si="1"/>
        <v>450</v>
      </c>
      <c r="O29" s="17">
        <f t="shared" si="2"/>
        <v>79.664427297405751</v>
      </c>
      <c r="Q29" s="5">
        <f t="shared" si="3"/>
        <v>-9</v>
      </c>
      <c r="R29" s="16">
        <f t="shared" si="4"/>
        <v>9.0000000000000011E-3</v>
      </c>
    </row>
    <row r="30" spans="8:18" x14ac:dyDescent="0.3">
      <c r="H30" s="4"/>
      <c r="K30" s="5">
        <v>19</v>
      </c>
      <c r="L30" s="11">
        <f t="shared" si="0"/>
        <v>43735.770586275758</v>
      </c>
      <c r="M30" s="11">
        <f t="shared" si="5"/>
        <v>194253.50266488985</v>
      </c>
      <c r="N30" s="13">
        <f t="shared" si="1"/>
        <v>475</v>
      </c>
      <c r="O30" s="17">
        <f t="shared" si="2"/>
        <v>92.075306497422645</v>
      </c>
      <c r="Q30" s="5">
        <f t="shared" si="3"/>
        <v>-9.5</v>
      </c>
      <c r="R30" s="16">
        <f t="shared" si="4"/>
        <v>9.4999999999999998E-3</v>
      </c>
    </row>
    <row r="31" spans="8:18" x14ac:dyDescent="0.3">
      <c r="H31" s="4"/>
      <c r="K31" s="5">
        <v>20</v>
      </c>
      <c r="L31" s="11">
        <f t="shared" si="0"/>
        <v>53357.640115256414</v>
      </c>
      <c r="M31" s="11">
        <f t="shared" si="5"/>
        <v>237989.27325116561</v>
      </c>
      <c r="N31" s="13">
        <f t="shared" si="1"/>
        <v>500</v>
      </c>
      <c r="O31" s="17">
        <f>L31/N31</f>
        <v>106.71528023051283</v>
      </c>
      <c r="Q31" s="5">
        <f t="shared" si="3"/>
        <v>-10</v>
      </c>
      <c r="R31" s="16">
        <f t="shared" si="4"/>
        <v>0.01</v>
      </c>
    </row>
    <row r="32" spans="8:18" x14ac:dyDescent="0.3">
      <c r="H32" s="4"/>
      <c r="K32" s="5">
        <v>21</v>
      </c>
      <c r="L32" s="11">
        <f t="shared" si="0"/>
        <v>65096.32094061283</v>
      </c>
      <c r="M32" s="11">
        <f t="shared" si="5"/>
        <v>291346.913366422</v>
      </c>
      <c r="N32" s="13">
        <f t="shared" si="1"/>
        <v>525</v>
      </c>
      <c r="O32" s="17">
        <f t="shared" si="2"/>
        <v>123.99299226783396</v>
      </c>
      <c r="Q32" s="5">
        <f t="shared" si="3"/>
        <v>-10.5</v>
      </c>
      <c r="R32" s="16">
        <f t="shared" si="4"/>
        <v>1.0500000000000001E-2</v>
      </c>
    </row>
    <row r="33" spans="8:18" x14ac:dyDescent="0.3">
      <c r="H33" s="4"/>
      <c r="K33" s="5">
        <v>22</v>
      </c>
      <c r="L33" s="11">
        <f t="shared" si="0"/>
        <v>79417.511547547649</v>
      </c>
      <c r="M33" s="11">
        <f t="shared" si="5"/>
        <v>356443.23430703481</v>
      </c>
      <c r="N33" s="13">
        <f t="shared" si="1"/>
        <v>550</v>
      </c>
      <c r="O33" s="17">
        <f t="shared" si="2"/>
        <v>144.39547554099573</v>
      </c>
      <c r="Q33" s="5">
        <f t="shared" si="3"/>
        <v>-11</v>
      </c>
      <c r="R33" s="16">
        <f t="shared" si="4"/>
        <v>1.0999999999999999E-2</v>
      </c>
    </row>
    <row r="34" spans="8:18" x14ac:dyDescent="0.3">
      <c r="H34" s="4"/>
      <c r="K34" s="5">
        <v>23</v>
      </c>
      <c r="L34" s="11">
        <f t="shared" si="0"/>
        <v>96889.364088008137</v>
      </c>
      <c r="M34" s="11">
        <f t="shared" si="5"/>
        <v>435860.74585458246</v>
      </c>
      <c r="N34" s="13">
        <f t="shared" si="1"/>
        <v>575</v>
      </c>
      <c r="O34" s="17">
        <f t="shared" si="2"/>
        <v>168.50324189218807</v>
      </c>
      <c r="Q34" s="5">
        <f t="shared" si="3"/>
        <v>-11.5</v>
      </c>
      <c r="R34" s="16">
        <f t="shared" si="4"/>
        <v>1.15E-2</v>
      </c>
    </row>
    <row r="35" spans="8:18" x14ac:dyDescent="0.3">
      <c r="K35" s="5">
        <v>24</v>
      </c>
      <c r="L35" s="11">
        <f t="shared" si="0"/>
        <v>118205.0241873699</v>
      </c>
      <c r="M35" s="11">
        <f t="shared" si="5"/>
        <v>532750.10994259058</v>
      </c>
      <c r="N35" s="13">
        <f t="shared" si="1"/>
        <v>600</v>
      </c>
      <c r="O35" s="17">
        <f t="shared" si="2"/>
        <v>197.0083736456165</v>
      </c>
      <c r="Q35" s="5">
        <f t="shared" si="3"/>
        <v>-12</v>
      </c>
      <c r="R35" s="16">
        <f t="shared" si="4"/>
        <v>1.2E-2</v>
      </c>
    </row>
    <row r="36" spans="8:18" x14ac:dyDescent="0.3">
      <c r="K36" s="5">
        <v>25</v>
      </c>
      <c r="L36" s="11">
        <f t="shared" si="0"/>
        <v>144210.12950859129</v>
      </c>
      <c r="M36" s="11">
        <f t="shared" si="5"/>
        <v>650955.13412996044</v>
      </c>
      <c r="N36" s="13">
        <f t="shared" si="1"/>
        <v>625</v>
      </c>
      <c r="O36" s="17">
        <f t="shared" si="2"/>
        <v>230.73620721374607</v>
      </c>
      <c r="Q36" s="5">
        <f t="shared" si="3"/>
        <v>-12.5</v>
      </c>
      <c r="R36" s="16">
        <f t="shared" si="4"/>
        <v>1.2500000000000001E-2</v>
      </c>
    </row>
    <row r="37" spans="8:18" x14ac:dyDescent="0.3">
      <c r="K37" s="5">
        <v>26</v>
      </c>
      <c r="L37" s="11">
        <f t="shared" si="0"/>
        <v>175936.35800048136</v>
      </c>
      <c r="M37" s="11">
        <f t="shared" si="5"/>
        <v>795165.2636385517</v>
      </c>
      <c r="N37" s="13">
        <f t="shared" si="1"/>
        <v>650</v>
      </c>
      <c r="O37" s="17">
        <f t="shared" si="2"/>
        <v>270.67132000074054</v>
      </c>
      <c r="Q37" s="5">
        <f t="shared" si="3"/>
        <v>-13</v>
      </c>
      <c r="R37" s="16">
        <f t="shared" si="4"/>
        <v>1.3000000000000001E-2</v>
      </c>
    </row>
    <row r="38" spans="8:18" x14ac:dyDescent="0.3">
      <c r="K38" s="5">
        <v>27</v>
      </c>
      <c r="L38" s="11">
        <f t="shared" si="0"/>
        <v>214642.35676058722</v>
      </c>
      <c r="M38" s="11">
        <f t="shared" si="5"/>
        <v>971101.62163903308</v>
      </c>
      <c r="N38" s="13">
        <f t="shared" si="1"/>
        <v>675</v>
      </c>
      <c r="O38" s="17">
        <f t="shared" si="2"/>
        <v>317.98867668235147</v>
      </c>
      <c r="Q38" s="5">
        <f t="shared" si="3"/>
        <v>-13.5</v>
      </c>
      <c r="R38" s="16">
        <f t="shared" si="4"/>
        <v>1.35E-2</v>
      </c>
    </row>
    <row r="39" spans="8:18" x14ac:dyDescent="0.3">
      <c r="K39" s="5">
        <v>28</v>
      </c>
      <c r="L39" s="11">
        <f t="shared" si="0"/>
        <v>261863.67524791643</v>
      </c>
      <c r="M39" s="11">
        <f t="shared" si="5"/>
        <v>1185743.9783996204</v>
      </c>
      <c r="N39" s="13">
        <f t="shared" si="1"/>
        <v>700</v>
      </c>
      <c r="O39" s="17">
        <f t="shared" si="2"/>
        <v>374.09096463988061</v>
      </c>
      <c r="Q39" s="5">
        <f t="shared" si="3"/>
        <v>-14</v>
      </c>
      <c r="R39" s="16">
        <f t="shared" si="4"/>
        <v>1.4E-2</v>
      </c>
    </row>
    <row r="40" spans="8:18" x14ac:dyDescent="0.3">
      <c r="K40" s="5">
        <v>29</v>
      </c>
      <c r="L40" s="11">
        <f t="shared" si="0"/>
        <v>319473.68380245805</v>
      </c>
      <c r="M40" s="11">
        <f t="shared" si="5"/>
        <v>1447607.6536475369</v>
      </c>
      <c r="N40" s="13">
        <f t="shared" si="1"/>
        <v>725</v>
      </c>
      <c r="O40" s="17">
        <f t="shared" si="2"/>
        <v>440.65335696890764</v>
      </c>
      <c r="Q40" s="5">
        <f t="shared" si="3"/>
        <v>-14.5</v>
      </c>
      <c r="R40" s="16">
        <f t="shared" si="4"/>
        <v>1.4500000000000001E-2</v>
      </c>
    </row>
    <row r="41" spans="8:18" x14ac:dyDescent="0.3">
      <c r="K41" s="5">
        <v>30</v>
      </c>
      <c r="L41" s="11">
        <f t="shared" si="0"/>
        <v>389757.89423899876</v>
      </c>
      <c r="M41" s="11">
        <f t="shared" si="5"/>
        <v>1767081.3374499949</v>
      </c>
      <c r="N41" s="13">
        <f t="shared" si="1"/>
        <v>750</v>
      </c>
      <c r="O41" s="17">
        <f t="shared" si="2"/>
        <v>519.67719231866499</v>
      </c>
      <c r="Q41" s="5">
        <f t="shared" si="3"/>
        <v>-15</v>
      </c>
      <c r="R41" s="16">
        <f t="shared" si="4"/>
        <v>1.4999999999999999E-2</v>
      </c>
    </row>
    <row r="42" spans="8:18" x14ac:dyDescent="0.3">
      <c r="K42" s="5">
        <v>31</v>
      </c>
      <c r="L42" s="11">
        <f t="shared" si="0"/>
        <v>475504.63097157853</v>
      </c>
      <c r="M42" s="11">
        <f t="shared" si="5"/>
        <v>2156839.2316889935</v>
      </c>
      <c r="N42" s="13">
        <f t="shared" si="1"/>
        <v>775</v>
      </c>
      <c r="O42" s="17">
        <f>L42/N42</f>
        <v>613.55436254397227</v>
      </c>
      <c r="Q42" s="5">
        <f t="shared" si="3"/>
        <v>-15.5</v>
      </c>
      <c r="R42" s="16">
        <f t="shared" si="4"/>
        <v>1.55E-2</v>
      </c>
    </row>
    <row r="43" spans="8:18" x14ac:dyDescent="0.3">
      <c r="K43" s="5">
        <v>32</v>
      </c>
      <c r="L43" s="11">
        <f t="shared" si="0"/>
        <v>580115.64978532563</v>
      </c>
      <c r="M43" s="11">
        <f t="shared" si="5"/>
        <v>2632343.8626605719</v>
      </c>
      <c r="N43" s="13">
        <f t="shared" si="1"/>
        <v>800</v>
      </c>
      <c r="O43" s="17">
        <f t="shared" si="2"/>
        <v>725.14456223165701</v>
      </c>
      <c r="Q43" s="5">
        <f t="shared" si="3"/>
        <v>-16</v>
      </c>
      <c r="R43" s="16">
        <f t="shared" si="4"/>
        <v>1.6E-2</v>
      </c>
    </row>
    <row r="44" spans="8:18" x14ac:dyDescent="0.3">
      <c r="K44" s="5">
        <v>33</v>
      </c>
      <c r="L44" s="11">
        <f t="shared" si="0"/>
        <v>707741.0927380973</v>
      </c>
      <c r="M44" s="11">
        <f t="shared" si="5"/>
        <v>3212459.5124458978</v>
      </c>
      <c r="N44" s="13">
        <f t="shared" si="1"/>
        <v>825</v>
      </c>
      <c r="O44" s="17">
        <f t="shared" si="2"/>
        <v>857.86799119769375</v>
      </c>
      <c r="Q44" s="5">
        <f t="shared" si="3"/>
        <v>-16.5</v>
      </c>
      <c r="R44" s="16">
        <f t="shared" si="4"/>
        <v>1.6500000000000001E-2</v>
      </c>
    </row>
    <row r="45" spans="8:18" x14ac:dyDescent="0.3">
      <c r="K45" s="5">
        <v>34</v>
      </c>
      <c r="L45" s="11">
        <f t="shared" si="0"/>
        <v>863444.13314047875</v>
      </c>
      <c r="M45" s="11">
        <f t="shared" si="5"/>
        <v>3920200.6051839953</v>
      </c>
      <c r="N45" s="13">
        <f t="shared" si="1"/>
        <v>850</v>
      </c>
      <c r="O45" s="17">
        <f t="shared" si="2"/>
        <v>1015.8166272240926</v>
      </c>
      <c r="Q45" s="5">
        <f t="shared" si="3"/>
        <v>-17</v>
      </c>
      <c r="R45" s="16">
        <f t="shared" si="4"/>
        <v>1.7000000000000001E-2</v>
      </c>
    </row>
    <row r="46" spans="8:18" x14ac:dyDescent="0.3">
      <c r="K46" s="5">
        <v>35</v>
      </c>
      <c r="L46" s="11">
        <f t="shared" si="0"/>
        <v>1053401.8424313839</v>
      </c>
      <c r="M46" s="11">
        <f t="shared" si="5"/>
        <v>4783644.7383244745</v>
      </c>
      <c r="N46" s="13">
        <f t="shared" si="1"/>
        <v>875</v>
      </c>
      <c r="O46" s="17">
        <f t="shared" si="2"/>
        <v>1203.8878199215817</v>
      </c>
      <c r="Q46" s="5">
        <f t="shared" si="3"/>
        <v>-17.5</v>
      </c>
      <c r="R46" s="16">
        <f t="shared" si="4"/>
        <v>1.7500000000000002E-2</v>
      </c>
    </row>
    <row r="47" spans="8:18" x14ac:dyDescent="0.3">
      <c r="K47" s="5">
        <v>36</v>
      </c>
      <c r="L47" s="11">
        <f t="shared" si="0"/>
        <v>1285150.2477662885</v>
      </c>
      <c r="M47" s="11">
        <f t="shared" si="5"/>
        <v>5837046.5807558587</v>
      </c>
      <c r="N47" s="13">
        <f t="shared" si="1"/>
        <v>900</v>
      </c>
      <c r="O47" s="17">
        <f t="shared" si="2"/>
        <v>1427.9447197403206</v>
      </c>
      <c r="Q47" s="5">
        <f t="shared" si="3"/>
        <v>-18</v>
      </c>
      <c r="R47" s="16">
        <f t="shared" si="4"/>
        <v>1.8000000000000002E-2</v>
      </c>
    </row>
    <row r="48" spans="8:18" x14ac:dyDescent="0.3">
      <c r="K48" s="5">
        <v>37</v>
      </c>
      <c r="L48" s="11">
        <f t="shared" si="0"/>
        <v>1567883.3022748719</v>
      </c>
      <c r="M48" s="11">
        <f t="shared" si="5"/>
        <v>7122196.8285221476</v>
      </c>
      <c r="N48" s="13">
        <f t="shared" si="1"/>
        <v>925</v>
      </c>
      <c r="O48" s="17">
        <f t="shared" si="2"/>
        <v>1695.0089754322939</v>
      </c>
      <c r="Q48" s="5">
        <f t="shared" si="3"/>
        <v>-18.5</v>
      </c>
      <c r="R48" s="16">
        <f t="shared" si="4"/>
        <v>1.8499999999999999E-2</v>
      </c>
    </row>
    <row r="49" spans="11:18" x14ac:dyDescent="0.3">
      <c r="K49" s="5">
        <v>38</v>
      </c>
      <c r="L49" s="11">
        <f t="shared" si="0"/>
        <v>1912817.6287753433</v>
      </c>
      <c r="M49" s="11">
        <f t="shared" si="5"/>
        <v>8690080.1307970192</v>
      </c>
      <c r="N49" s="13">
        <f t="shared" si="1"/>
        <v>950</v>
      </c>
      <c r="O49" s="17">
        <f>L49/N49</f>
        <v>2013.4922408161508</v>
      </c>
      <c r="Q49" s="5">
        <f t="shared" si="3"/>
        <v>-19</v>
      </c>
      <c r="R49" s="16">
        <f t="shared" si="4"/>
        <v>1.9E-2</v>
      </c>
    </row>
    <row r="50" spans="11:18" x14ac:dyDescent="0.3">
      <c r="K50" s="5">
        <v>39</v>
      </c>
      <c r="L50" s="11">
        <f t="shared" si="0"/>
        <v>2333637.5071059191</v>
      </c>
      <c r="M50" s="11">
        <f t="shared" si="5"/>
        <v>10602897.759572363</v>
      </c>
      <c r="N50" s="13">
        <f t="shared" si="1"/>
        <v>975</v>
      </c>
      <c r="O50" s="17">
        <f t="shared" si="2"/>
        <v>2393.474366262481</v>
      </c>
      <c r="Q50" s="5">
        <f t="shared" si="3"/>
        <v>-19.5</v>
      </c>
      <c r="R50" s="16">
        <f t="shared" si="4"/>
        <v>1.95E-2</v>
      </c>
    </row>
    <row r="51" spans="11:18" x14ac:dyDescent="0.3">
      <c r="K51" s="5">
        <v>40</v>
      </c>
      <c r="L51" s="11">
        <f t="shared" si="0"/>
        <v>2847037.7586692208</v>
      </c>
      <c r="M51" s="11">
        <f t="shared" si="5"/>
        <v>12936535.266678281</v>
      </c>
      <c r="N51" s="13">
        <f t="shared" si="1"/>
        <v>1000</v>
      </c>
      <c r="O51" s="17">
        <f t="shared" si="2"/>
        <v>2847.0377586692207</v>
      </c>
      <c r="Q51" s="5">
        <f t="shared" si="3"/>
        <v>-20</v>
      </c>
      <c r="R51" s="16">
        <f t="shared" si="4"/>
        <v>0.02</v>
      </c>
    </row>
    <row r="52" spans="11:18" x14ac:dyDescent="0.3">
      <c r="K52" s="5">
        <v>41</v>
      </c>
      <c r="L52" s="11">
        <f t="shared" si="0"/>
        <v>3473386.065576449</v>
      </c>
      <c r="M52" s="11">
        <f t="shared" si="5"/>
        <v>15783573.025347501</v>
      </c>
      <c r="N52" s="13">
        <f t="shared" si="1"/>
        <v>1025</v>
      </c>
      <c r="O52" s="17">
        <f t="shared" si="2"/>
        <v>3388.6693322697065</v>
      </c>
      <c r="Q52" s="5">
        <f t="shared" si="3"/>
        <v>-20.5</v>
      </c>
      <c r="R52" s="16">
        <f t="shared" si="4"/>
        <v>2.0500000000000001E-2</v>
      </c>
    </row>
    <row r="53" spans="11:18" x14ac:dyDescent="0.3">
      <c r="K53" s="5">
        <v>42</v>
      </c>
      <c r="L53" s="11">
        <f t="shared" si="0"/>
        <v>4237531.000003268</v>
      </c>
      <c r="M53" s="11">
        <f t="shared" si="5"/>
        <v>19256959.09092395</v>
      </c>
      <c r="N53" s="13">
        <f t="shared" si="1"/>
        <v>1050</v>
      </c>
      <c r="O53" s="17">
        <f t="shared" si="2"/>
        <v>4035.7438095269217</v>
      </c>
      <c r="Q53" s="5">
        <f t="shared" si="3"/>
        <v>-21</v>
      </c>
      <c r="R53" s="16">
        <f t="shared" si="4"/>
        <v>2.1000000000000001E-2</v>
      </c>
    </row>
    <row r="54" spans="11:18" x14ac:dyDescent="0.3">
      <c r="K54" s="5">
        <v>43</v>
      </c>
      <c r="L54" s="11">
        <f t="shared" si="0"/>
        <v>5169787.8200039864</v>
      </c>
      <c r="M54" s="11">
        <f t="shared" si="5"/>
        <v>23494490.090927217</v>
      </c>
      <c r="N54" s="13">
        <f t="shared" si="1"/>
        <v>1075</v>
      </c>
      <c r="O54" s="17">
        <f t="shared" si="2"/>
        <v>4809.1049488409171</v>
      </c>
      <c r="Q54" s="5">
        <f t="shared" si="3"/>
        <v>-21.5</v>
      </c>
      <c r="R54" s="16">
        <f t="shared" si="4"/>
        <v>2.1500000000000002E-2</v>
      </c>
    </row>
    <row r="55" spans="11:18" x14ac:dyDescent="0.3">
      <c r="K55" s="5">
        <v>44</v>
      </c>
      <c r="L55" s="11">
        <f t="shared" si="0"/>
        <v>6307141.1404048633</v>
      </c>
      <c r="M55" s="11">
        <f t="shared" si="5"/>
        <v>28664277.910931204</v>
      </c>
      <c r="N55" s="13">
        <f t="shared" si="1"/>
        <v>1100</v>
      </c>
      <c r="O55" s="17">
        <f t="shared" si="2"/>
        <v>5733.7646730953302</v>
      </c>
      <c r="Q55" s="5">
        <f t="shared" si="3"/>
        <v>-22</v>
      </c>
      <c r="R55" s="16">
        <f t="shared" si="4"/>
        <v>2.1999999999999999E-2</v>
      </c>
    </row>
    <row r="56" spans="11:18" x14ac:dyDescent="0.3">
      <c r="K56" s="5">
        <v>45</v>
      </c>
      <c r="L56" s="11">
        <f t="shared" si="0"/>
        <v>7694712.1912939325</v>
      </c>
      <c r="M56" s="11">
        <f t="shared" si="5"/>
        <v>34971419.051336065</v>
      </c>
      <c r="N56" s="13">
        <f t="shared" si="1"/>
        <v>1125</v>
      </c>
      <c r="O56" s="17">
        <f t="shared" si="2"/>
        <v>6839.7441700390509</v>
      </c>
      <c r="Q56" s="5">
        <f t="shared" si="3"/>
        <v>-22.5</v>
      </c>
      <c r="R56" s="16">
        <f t="shared" si="4"/>
        <v>2.2499999999999999E-2</v>
      </c>
    </row>
    <row r="57" spans="11:18" x14ac:dyDescent="0.3">
      <c r="K57" s="5">
        <v>46</v>
      </c>
      <c r="L57" s="11">
        <f t="shared" si="0"/>
        <v>9387548.8733785972</v>
      </c>
      <c r="M57" s="11">
        <f t="shared" si="5"/>
        <v>42666131.242629997</v>
      </c>
      <c r="N57" s="13">
        <f t="shared" si="1"/>
        <v>1150</v>
      </c>
      <c r="O57" s="17">
        <f t="shared" si="2"/>
        <v>8163.0859768509545</v>
      </c>
      <c r="Q57" s="5">
        <f t="shared" si="3"/>
        <v>-23</v>
      </c>
      <c r="R57" s="16">
        <f t="shared" si="4"/>
        <v>2.3E-2</v>
      </c>
    </row>
    <row r="58" spans="11:18" x14ac:dyDescent="0.3">
      <c r="K58" s="5">
        <v>47</v>
      </c>
      <c r="L58" s="11">
        <f t="shared" si="0"/>
        <v>11452809.625521889</v>
      </c>
      <c r="M58" s="11">
        <f t="shared" si="5"/>
        <v>52053680.116008595</v>
      </c>
      <c r="N58" s="13">
        <f t="shared" si="1"/>
        <v>1175</v>
      </c>
      <c r="O58" s="17">
        <f t="shared" si="2"/>
        <v>9747.0720217207563</v>
      </c>
      <c r="Q58" s="5">
        <f t="shared" si="3"/>
        <v>-23.5</v>
      </c>
      <c r="R58" s="16">
        <f t="shared" si="4"/>
        <v>2.35E-2</v>
      </c>
    </row>
    <row r="59" spans="11:18" x14ac:dyDescent="0.3">
      <c r="K59" s="5">
        <v>48</v>
      </c>
      <c r="L59" s="11">
        <f t="shared" si="0"/>
        <v>13972427.743136702</v>
      </c>
      <c r="M59" s="11">
        <f t="shared" si="5"/>
        <v>63506489.741530485</v>
      </c>
      <c r="N59" s="13">
        <f t="shared" si="1"/>
        <v>1200</v>
      </c>
      <c r="O59" s="17">
        <f t="shared" si="2"/>
        <v>11643.689785947252</v>
      </c>
      <c r="Q59" s="5">
        <f t="shared" si="3"/>
        <v>-24</v>
      </c>
      <c r="R59" s="16">
        <f t="shared" si="4"/>
        <v>2.4E-2</v>
      </c>
    </row>
    <row r="60" spans="11:18" x14ac:dyDescent="0.3">
      <c r="K60" s="5">
        <v>49</v>
      </c>
      <c r="L60" s="11">
        <f t="shared" si="0"/>
        <v>17046361.846626777</v>
      </c>
      <c r="M60" s="11">
        <f t="shared" si="5"/>
        <v>77478917.484667182</v>
      </c>
      <c r="N60" s="13">
        <f t="shared" si="1"/>
        <v>1225</v>
      </c>
      <c r="O60" s="17">
        <f>L60/N60</f>
        <v>13915.397425817777</v>
      </c>
      <c r="Q60" s="5">
        <f t="shared" si="3"/>
        <v>-24.5</v>
      </c>
      <c r="R60" s="16">
        <f t="shared" si="4"/>
        <v>2.4500000000000001E-2</v>
      </c>
    </row>
    <row r="61" spans="11:18" x14ac:dyDescent="0.3">
      <c r="K61" s="5">
        <v>50</v>
      </c>
      <c r="L61" s="11">
        <f t="shared" si="0"/>
        <v>20796561.452884667</v>
      </c>
      <c r="M61" s="11">
        <f t="shared" si="5"/>
        <v>94525279.331293955</v>
      </c>
      <c r="N61" s="13">
        <f t="shared" si="1"/>
        <v>1250</v>
      </c>
      <c r="O61" s="17">
        <f t="shared" si="2"/>
        <v>16637.249162307733</v>
      </c>
      <c r="Q61" s="5">
        <f t="shared" si="3"/>
        <v>-25</v>
      </c>
      <c r="R61" s="16">
        <f t="shared" si="4"/>
        <v>2.5000000000000001E-2</v>
      </c>
    </row>
    <row r="62" spans="11:18" x14ac:dyDescent="0.3">
      <c r="K62" s="5">
        <v>51</v>
      </c>
      <c r="L62" s="11">
        <f t="shared" si="0"/>
        <v>25371804.972519293</v>
      </c>
      <c r="M62" s="11">
        <f t="shared" si="5"/>
        <v>115321840.78417861</v>
      </c>
      <c r="N62" s="13">
        <f t="shared" si="1"/>
        <v>1275</v>
      </c>
      <c r="O62" s="17">
        <f t="shared" si="2"/>
        <v>19899.454880407287</v>
      </c>
      <c r="Q62" s="5">
        <f t="shared" si="3"/>
        <v>-25.5</v>
      </c>
      <c r="R62" s="16">
        <f t="shared" si="4"/>
        <v>2.5500000000000002E-2</v>
      </c>
    </row>
    <row r="63" spans="11:18" x14ac:dyDescent="0.3">
      <c r="K63" s="5">
        <v>52</v>
      </c>
      <c r="L63" s="11">
        <f t="shared" si="0"/>
        <v>30953602.066473532</v>
      </c>
      <c r="M63" s="11">
        <f t="shared" si="5"/>
        <v>140693645.75669789</v>
      </c>
      <c r="N63" s="13">
        <f t="shared" si="1"/>
        <v>1300</v>
      </c>
      <c r="O63" s="17">
        <f t="shared" si="2"/>
        <v>23810.463128056563</v>
      </c>
      <c r="Q63" s="5">
        <f t="shared" si="3"/>
        <v>-26</v>
      </c>
      <c r="R63" s="16">
        <f t="shared" si="4"/>
        <v>2.6000000000000002E-2</v>
      </c>
    </row>
    <row r="64" spans="11:18" x14ac:dyDescent="0.3">
      <c r="K64" s="5">
        <v>53</v>
      </c>
      <c r="L64" s="11">
        <f t="shared" si="0"/>
        <v>37763394.521097712</v>
      </c>
      <c r="M64" s="11">
        <f t="shared" si="5"/>
        <v>171647247.82317144</v>
      </c>
      <c r="N64" s="13">
        <f t="shared" si="1"/>
        <v>1325</v>
      </c>
      <c r="O64" s="17">
        <f>L64/N64</f>
        <v>28500.675110262426</v>
      </c>
      <c r="Q64" s="5">
        <f t="shared" si="3"/>
        <v>-26.5</v>
      </c>
      <c r="R64" s="16">
        <f t="shared" si="4"/>
        <v>2.6499999999999999E-2</v>
      </c>
    </row>
    <row r="65" spans="11:18" x14ac:dyDescent="0.3">
      <c r="K65" s="5">
        <v>54</v>
      </c>
      <c r="L65" s="11">
        <f t="shared" si="0"/>
        <v>46071341.315739207</v>
      </c>
      <c r="M65" s="11">
        <f t="shared" si="5"/>
        <v>209410642.34426916</v>
      </c>
      <c r="N65" s="13">
        <f t="shared" si="1"/>
        <v>1350</v>
      </c>
      <c r="O65" s="17">
        <f t="shared" si="2"/>
        <v>34126.919493140151</v>
      </c>
      <c r="Q65" s="5">
        <f t="shared" si="3"/>
        <v>-27</v>
      </c>
      <c r="R65" s="16">
        <f t="shared" si="4"/>
        <v>2.7E-2</v>
      </c>
    </row>
    <row r="66" spans="11:18" x14ac:dyDescent="0.3">
      <c r="K66" s="5">
        <v>55</v>
      </c>
      <c r="L66" s="11">
        <f t="shared" si="0"/>
        <v>56207036.405201845</v>
      </c>
      <c r="M66" s="11">
        <f t="shared" si="5"/>
        <v>255481983.66000837</v>
      </c>
      <c r="N66" s="13">
        <f t="shared" si="1"/>
        <v>1375</v>
      </c>
      <c r="O66" s="17">
        <f t="shared" si="2"/>
        <v>40877.844658328613</v>
      </c>
      <c r="Q66" s="5">
        <f t="shared" si="3"/>
        <v>-27.5</v>
      </c>
      <c r="R66" s="16">
        <f t="shared" si="4"/>
        <v>2.75E-2</v>
      </c>
    </row>
    <row r="67" spans="11:18" x14ac:dyDescent="0.3">
      <c r="K67" s="5">
        <v>56</v>
      </c>
      <c r="L67" s="11">
        <f t="shared" si="0"/>
        <v>68572584.414346233</v>
      </c>
      <c r="M67" s="11">
        <f t="shared" si="5"/>
        <v>311689020.06521022</v>
      </c>
      <c r="N67" s="13">
        <f t="shared" si="1"/>
        <v>1400</v>
      </c>
      <c r="O67" s="17">
        <f t="shared" si="2"/>
        <v>48980.417438818738</v>
      </c>
      <c r="Q67" s="5">
        <f t="shared" si="3"/>
        <v>-28</v>
      </c>
      <c r="R67" s="16">
        <f t="shared" si="4"/>
        <v>2.8000000000000001E-2</v>
      </c>
    </row>
    <row r="68" spans="11:18" x14ac:dyDescent="0.3">
      <c r="K68" s="5">
        <v>57</v>
      </c>
      <c r="L68" s="11">
        <f t="shared" si="0"/>
        <v>83658552.985502392</v>
      </c>
      <c r="M68" s="11">
        <f t="shared" si="5"/>
        <v>380261604.47955644</v>
      </c>
      <c r="N68" s="13">
        <f t="shared" si="1"/>
        <v>1425</v>
      </c>
      <c r="O68" s="17">
        <f t="shared" si="2"/>
        <v>58707.756481054312</v>
      </c>
      <c r="Q68" s="5">
        <f t="shared" si="3"/>
        <v>-28.5</v>
      </c>
      <c r="R68" s="16">
        <f t="shared" si="4"/>
        <v>2.8500000000000001E-2</v>
      </c>
    </row>
    <row r="69" spans="11:18" x14ac:dyDescent="0.3">
      <c r="K69" s="5">
        <v>58</v>
      </c>
      <c r="L69" s="11">
        <f t="shared" si="0"/>
        <v>102063434.64231293</v>
      </c>
      <c r="M69" s="11">
        <f t="shared" si="5"/>
        <v>463920157.4650588</v>
      </c>
      <c r="N69" s="13">
        <f t="shared" si="1"/>
        <v>1450</v>
      </c>
      <c r="O69" s="17">
        <f t="shared" si="2"/>
        <v>70388.575615388225</v>
      </c>
      <c r="Q69" s="5">
        <f t="shared" si="3"/>
        <v>-29</v>
      </c>
      <c r="R69" s="16">
        <f t="shared" si="4"/>
        <v>2.9000000000000001E-2</v>
      </c>
    </row>
    <row r="70" spans="11:18" x14ac:dyDescent="0.3">
      <c r="K70" s="5">
        <v>59</v>
      </c>
      <c r="L70" s="11">
        <f t="shared" si="0"/>
        <v>124517390.26362175</v>
      </c>
      <c r="M70" s="11">
        <f t="shared" si="5"/>
        <v>565983592.10737169</v>
      </c>
      <c r="N70" s="13">
        <f t="shared" si="1"/>
        <v>1475</v>
      </c>
      <c r="O70" s="17">
        <f t="shared" si="2"/>
        <v>84418.569670252036</v>
      </c>
      <c r="Q70" s="5">
        <f t="shared" si="3"/>
        <v>-29.5</v>
      </c>
      <c r="R70" s="16">
        <f t="shared" si="4"/>
        <v>2.9500000000000002E-2</v>
      </c>
    </row>
    <row r="71" spans="11:18" x14ac:dyDescent="0.3">
      <c r="K71" s="5">
        <v>60</v>
      </c>
      <c r="L71" s="11">
        <f t="shared" si="0"/>
        <v>151911216.12161854</v>
      </c>
      <c r="M71" s="11">
        <f t="shared" si="5"/>
        <v>690500982.37099338</v>
      </c>
      <c r="N71" s="13">
        <f t="shared" si="1"/>
        <v>1500</v>
      </c>
      <c r="O71" s="17">
        <f t="shared" si="2"/>
        <v>101274.14408107902</v>
      </c>
      <c r="Q71" s="5">
        <f t="shared" si="3"/>
        <v>-30</v>
      </c>
      <c r="R71" s="16">
        <f t="shared" si="4"/>
        <v>0.03</v>
      </c>
    </row>
    <row r="72" spans="11:18" x14ac:dyDescent="0.3">
      <c r="K72" s="5">
        <v>61</v>
      </c>
      <c r="L72" s="11">
        <f t="shared" si="0"/>
        <v>185331683.6683746</v>
      </c>
      <c r="M72" s="11">
        <f t="shared" si="5"/>
        <v>842412198.49261189</v>
      </c>
      <c r="N72" s="13">
        <f t="shared" si="1"/>
        <v>1525</v>
      </c>
      <c r="O72" s="17">
        <f t="shared" si="2"/>
        <v>121528.97289729482</v>
      </c>
      <c r="Q72" s="5">
        <f t="shared" si="3"/>
        <v>-30.5</v>
      </c>
      <c r="R72" s="16">
        <f t="shared" si="4"/>
        <v>3.0499999999999999E-2</v>
      </c>
    </row>
    <row r="73" spans="11:18" x14ac:dyDescent="0.3">
      <c r="K73" s="5">
        <v>62</v>
      </c>
      <c r="L73" s="11">
        <f t="shared" si="0"/>
        <v>226104654.07541701</v>
      </c>
      <c r="M73" s="11">
        <f t="shared" si="5"/>
        <v>1027743882.1609864</v>
      </c>
      <c r="N73" s="13">
        <f t="shared" si="1"/>
        <v>1550</v>
      </c>
      <c r="O73" s="17">
        <f t="shared" si="2"/>
        <v>145873.97037123679</v>
      </c>
      <c r="Q73" s="5">
        <f t="shared" si="3"/>
        <v>-31</v>
      </c>
      <c r="R73" s="16">
        <f t="shared" si="4"/>
        <v>3.1E-2</v>
      </c>
    </row>
    <row r="74" spans="11:18" x14ac:dyDescent="0.3">
      <c r="K74" s="5">
        <v>63</v>
      </c>
      <c r="L74" s="11">
        <f t="shared" si="0"/>
        <v>275847677.97200876</v>
      </c>
      <c r="M74" s="11">
        <f t="shared" si="5"/>
        <v>1253848536.2364035</v>
      </c>
      <c r="N74" s="13">
        <f t="shared" si="1"/>
        <v>1575</v>
      </c>
      <c r="O74" s="17">
        <f t="shared" si="2"/>
        <v>175141.38283937064</v>
      </c>
      <c r="Q74" s="5">
        <f t="shared" si="3"/>
        <v>-31.5</v>
      </c>
      <c r="R74" s="16">
        <f t="shared" si="4"/>
        <v>3.15E-2</v>
      </c>
    </row>
    <row r="75" spans="11:18" x14ac:dyDescent="0.3">
      <c r="K75" s="5">
        <v>64</v>
      </c>
      <c r="L75" s="11">
        <f t="shared" si="0"/>
        <v>336534167.12585062</v>
      </c>
      <c r="M75" s="11">
        <f t="shared" si="5"/>
        <v>1529696214.2084122</v>
      </c>
      <c r="N75" s="13">
        <f t="shared" si="1"/>
        <v>1600</v>
      </c>
      <c r="O75" s="17">
        <f>L75/N75</f>
        <v>210333.85445365665</v>
      </c>
      <c r="Q75" s="5">
        <f t="shared" si="3"/>
        <v>-32</v>
      </c>
      <c r="R75" s="16">
        <f t="shared" si="4"/>
        <v>3.2000000000000001E-2</v>
      </c>
    </row>
    <row r="76" spans="11:18" x14ac:dyDescent="0.3">
      <c r="K76" s="5">
        <v>65</v>
      </c>
      <c r="L76" s="11">
        <f t="shared" ref="L76:L139" si="6">$I$6*($I$7^K76)</f>
        <v>410571683.89353776</v>
      </c>
      <c r="M76" s="11">
        <f t="shared" si="5"/>
        <v>1866230381.3342628</v>
      </c>
      <c r="N76" s="13">
        <f t="shared" ref="N76:N139" si="7">K76*$I$8</f>
        <v>1625</v>
      </c>
      <c r="O76" s="17">
        <f t="shared" ref="O76:O77" si="8">L76/N76</f>
        <v>252659.49778063863</v>
      </c>
      <c r="Q76" s="5">
        <f t="shared" ref="Q76:Q139" si="9">K76*$I$11</f>
        <v>-32.5</v>
      </c>
      <c r="R76" s="16">
        <f t="shared" ref="R76:R139" si="10">K76*$I$12</f>
        <v>3.2500000000000001E-2</v>
      </c>
    </row>
    <row r="77" spans="11:18" x14ac:dyDescent="0.3">
      <c r="K77" s="5">
        <v>66</v>
      </c>
      <c r="L77" s="11">
        <f t="shared" si="6"/>
        <v>500897454.35011607</v>
      </c>
      <c r="M77" s="11">
        <f t="shared" si="5"/>
        <v>2276802065.2278004</v>
      </c>
      <c r="N77" s="13">
        <f t="shared" si="7"/>
        <v>1650</v>
      </c>
      <c r="O77" s="17">
        <f t="shared" si="8"/>
        <v>303574.21475764608</v>
      </c>
      <c r="Q77" s="5">
        <f t="shared" si="9"/>
        <v>-33</v>
      </c>
      <c r="R77" s="16">
        <f t="shared" si="10"/>
        <v>3.3000000000000002E-2</v>
      </c>
    </row>
    <row r="78" spans="11:18" x14ac:dyDescent="0.3">
      <c r="K78" s="5">
        <v>67</v>
      </c>
      <c r="L78" s="11">
        <f t="shared" si="6"/>
        <v>611094894.30714154</v>
      </c>
      <c r="M78" s="11">
        <f t="shared" si="5"/>
        <v>2777699519.5779166</v>
      </c>
      <c r="N78" s="13">
        <f t="shared" si="7"/>
        <v>1675</v>
      </c>
      <c r="O78" s="17">
        <f>L78/N78</f>
        <v>364832.7727206815</v>
      </c>
      <c r="Q78" s="5">
        <f t="shared" si="9"/>
        <v>-33.5</v>
      </c>
      <c r="R78" s="16">
        <f t="shared" si="10"/>
        <v>3.3500000000000002E-2</v>
      </c>
    </row>
    <row r="79" spans="11:18" x14ac:dyDescent="0.3">
      <c r="K79" s="5">
        <v>68</v>
      </c>
      <c r="L79" s="11">
        <f t="shared" si="6"/>
        <v>745535771.05471253</v>
      </c>
      <c r="M79" s="11">
        <f t="shared" ref="M79:M142" si="11">M78+L78</f>
        <v>3388794413.8850584</v>
      </c>
      <c r="N79" s="13">
        <f t="shared" si="7"/>
        <v>1700</v>
      </c>
      <c r="O79" s="17">
        <f t="shared" ref="O79:O100" si="12">L79/N79</f>
        <v>438550.45356159558</v>
      </c>
      <c r="Q79" s="5">
        <f t="shared" si="9"/>
        <v>-34</v>
      </c>
      <c r="R79" s="16">
        <f t="shared" si="10"/>
        <v>3.4000000000000002E-2</v>
      </c>
    </row>
    <row r="80" spans="11:18" x14ac:dyDescent="0.3">
      <c r="K80" s="5">
        <v>69</v>
      </c>
      <c r="L80" s="11">
        <f t="shared" si="6"/>
        <v>909553640.68674946</v>
      </c>
      <c r="M80" s="11">
        <f t="shared" si="11"/>
        <v>4134330184.9397707</v>
      </c>
      <c r="N80" s="13">
        <f t="shared" si="7"/>
        <v>1725</v>
      </c>
      <c r="O80" s="17">
        <f t="shared" si="12"/>
        <v>527277.4728618837</v>
      </c>
      <c r="Q80" s="5">
        <f t="shared" si="9"/>
        <v>-34.5</v>
      </c>
      <c r="R80" s="16">
        <f t="shared" si="10"/>
        <v>3.4500000000000003E-2</v>
      </c>
    </row>
    <row r="81" spans="11:18" x14ac:dyDescent="0.3">
      <c r="K81" s="5">
        <v>70</v>
      </c>
      <c r="L81" s="11">
        <f t="shared" si="6"/>
        <v>1109655441.6378343</v>
      </c>
      <c r="M81" s="11">
        <f t="shared" si="11"/>
        <v>5043883825.6265202</v>
      </c>
      <c r="N81" s="13">
        <f t="shared" si="7"/>
        <v>1750</v>
      </c>
      <c r="O81" s="17">
        <f t="shared" si="12"/>
        <v>634088.82379304816</v>
      </c>
      <c r="Q81" s="5">
        <f t="shared" si="9"/>
        <v>-35</v>
      </c>
      <c r="R81" s="16">
        <f t="shared" si="10"/>
        <v>3.5000000000000003E-2</v>
      </c>
    </row>
    <row r="82" spans="11:18" x14ac:dyDescent="0.3">
      <c r="K82" s="5">
        <v>71</v>
      </c>
      <c r="L82" s="11">
        <f t="shared" si="6"/>
        <v>1353779638.7981577</v>
      </c>
      <c r="M82" s="11">
        <f t="shared" si="11"/>
        <v>6153539267.2643547</v>
      </c>
      <c r="N82" s="13">
        <f t="shared" si="7"/>
        <v>1775</v>
      </c>
      <c r="O82" s="17">
        <f t="shared" si="12"/>
        <v>762692.75425248325</v>
      </c>
      <c r="Q82" s="5">
        <f t="shared" si="9"/>
        <v>-35.5</v>
      </c>
      <c r="R82" s="16">
        <f t="shared" si="10"/>
        <v>3.5500000000000004E-2</v>
      </c>
    </row>
    <row r="83" spans="11:18" x14ac:dyDescent="0.3">
      <c r="K83" s="5">
        <v>72</v>
      </c>
      <c r="L83" s="11">
        <f t="shared" si="6"/>
        <v>1651611159.3337522</v>
      </c>
      <c r="M83" s="11">
        <f t="shared" si="11"/>
        <v>7507318906.0625124</v>
      </c>
      <c r="N83" s="13">
        <f t="shared" si="7"/>
        <v>1800</v>
      </c>
      <c r="O83" s="17">
        <f t="shared" si="12"/>
        <v>917561.75518541783</v>
      </c>
      <c r="Q83" s="5">
        <f t="shared" si="9"/>
        <v>-36</v>
      </c>
      <c r="R83" s="16">
        <f t="shared" si="10"/>
        <v>3.6000000000000004E-2</v>
      </c>
    </row>
    <row r="84" spans="11:18" x14ac:dyDescent="0.3">
      <c r="K84" s="5">
        <v>73</v>
      </c>
      <c r="L84" s="11">
        <f t="shared" si="6"/>
        <v>2014965614.3871779</v>
      </c>
      <c r="M84" s="11">
        <f t="shared" si="11"/>
        <v>9158930065.396265</v>
      </c>
      <c r="N84" s="13">
        <f t="shared" si="7"/>
        <v>1825</v>
      </c>
      <c r="O84" s="17">
        <f t="shared" si="12"/>
        <v>1104090.7476094125</v>
      </c>
      <c r="Q84" s="5">
        <f t="shared" si="9"/>
        <v>-36.5</v>
      </c>
      <c r="R84" s="16">
        <f t="shared" si="10"/>
        <v>3.6499999999999998E-2</v>
      </c>
    </row>
    <row r="85" spans="11:18" x14ac:dyDescent="0.3">
      <c r="K85" s="5">
        <v>74</v>
      </c>
      <c r="L85" s="11">
        <f t="shared" si="6"/>
        <v>2458258049.5523567</v>
      </c>
      <c r="M85" s="11">
        <f t="shared" si="11"/>
        <v>11173895679.783443</v>
      </c>
      <c r="N85" s="13">
        <f t="shared" si="7"/>
        <v>1850</v>
      </c>
      <c r="O85" s="17">
        <f t="shared" si="12"/>
        <v>1328788.1348931659</v>
      </c>
      <c r="Q85" s="5">
        <f t="shared" si="9"/>
        <v>-37</v>
      </c>
      <c r="R85" s="16">
        <f t="shared" si="10"/>
        <v>3.6999999999999998E-2</v>
      </c>
    </row>
    <row r="86" spans="11:18" x14ac:dyDescent="0.3">
      <c r="K86" s="5">
        <v>75</v>
      </c>
      <c r="L86" s="11">
        <f t="shared" si="6"/>
        <v>2999074820.4538746</v>
      </c>
      <c r="M86" s="11">
        <f t="shared" si="11"/>
        <v>13632153729.3358</v>
      </c>
      <c r="N86" s="13">
        <f t="shared" si="7"/>
        <v>1875</v>
      </c>
      <c r="O86" s="17">
        <f t="shared" si="12"/>
        <v>1599506.5709087332</v>
      </c>
      <c r="Q86" s="5">
        <f t="shared" si="9"/>
        <v>-37.5</v>
      </c>
      <c r="R86" s="16">
        <f t="shared" si="10"/>
        <v>3.7499999999999999E-2</v>
      </c>
    </row>
    <row r="87" spans="11:18" x14ac:dyDescent="0.3">
      <c r="K87" s="5">
        <v>76</v>
      </c>
      <c r="L87" s="11">
        <f t="shared" si="6"/>
        <v>3658871280.9537272</v>
      </c>
      <c r="M87" s="11">
        <f t="shared" si="11"/>
        <v>16631228549.789675</v>
      </c>
      <c r="N87" s="13">
        <f t="shared" si="7"/>
        <v>1900</v>
      </c>
      <c r="O87" s="17">
        <f t="shared" si="12"/>
        <v>1925721.7268177511</v>
      </c>
      <c r="Q87" s="5">
        <f t="shared" si="9"/>
        <v>-38</v>
      </c>
      <c r="R87" s="16">
        <f t="shared" si="10"/>
        <v>3.7999999999999999E-2</v>
      </c>
    </row>
    <row r="88" spans="11:18" x14ac:dyDescent="0.3">
      <c r="K88" s="5">
        <v>77</v>
      </c>
      <c r="L88" s="11">
        <f t="shared" si="6"/>
        <v>4463822962.7635469</v>
      </c>
      <c r="M88" s="11">
        <f t="shared" si="11"/>
        <v>20290099830.743401</v>
      </c>
      <c r="N88" s="13">
        <f t="shared" si="7"/>
        <v>1925</v>
      </c>
      <c r="O88" s="17">
        <f t="shared" si="12"/>
        <v>2318869.071565479</v>
      </c>
      <c r="Q88" s="5">
        <f t="shared" si="9"/>
        <v>-38.5</v>
      </c>
      <c r="R88" s="16">
        <f t="shared" si="10"/>
        <v>3.85E-2</v>
      </c>
    </row>
    <row r="89" spans="11:18" x14ac:dyDescent="0.3">
      <c r="K89" s="5">
        <v>78</v>
      </c>
      <c r="L89" s="11">
        <f t="shared" si="6"/>
        <v>5445864014.5715275</v>
      </c>
      <c r="M89" s="11">
        <f t="shared" si="11"/>
        <v>24753922793.506947</v>
      </c>
      <c r="N89" s="13">
        <f t="shared" si="7"/>
        <v>1950</v>
      </c>
      <c r="O89" s="17">
        <f>L89/N89</f>
        <v>2792750.7767033475</v>
      </c>
      <c r="Q89" s="5">
        <f t="shared" si="9"/>
        <v>-39</v>
      </c>
      <c r="R89" s="16">
        <f t="shared" si="10"/>
        <v>3.9E-2</v>
      </c>
    </row>
    <row r="90" spans="11:18" x14ac:dyDescent="0.3">
      <c r="K90" s="5">
        <v>79</v>
      </c>
      <c r="L90" s="11">
        <f t="shared" si="6"/>
        <v>6643954097.7772636</v>
      </c>
      <c r="M90" s="11">
        <f t="shared" si="11"/>
        <v>30199786808.078476</v>
      </c>
      <c r="N90" s="13">
        <f t="shared" si="7"/>
        <v>1975</v>
      </c>
      <c r="O90" s="17">
        <f t="shared" si="12"/>
        <v>3364027.3912796271</v>
      </c>
      <c r="Q90" s="5">
        <f t="shared" si="9"/>
        <v>-39.5</v>
      </c>
      <c r="R90" s="16">
        <f t="shared" si="10"/>
        <v>3.95E-2</v>
      </c>
    </row>
    <row r="91" spans="11:18" x14ac:dyDescent="0.3">
      <c r="K91" s="5">
        <v>80</v>
      </c>
      <c r="L91" s="11">
        <f t="shared" si="6"/>
        <v>8105623999.2882605</v>
      </c>
      <c r="M91" s="11">
        <f t="shared" si="11"/>
        <v>36843740905.855743</v>
      </c>
      <c r="N91" s="13">
        <f t="shared" si="7"/>
        <v>2000</v>
      </c>
      <c r="O91" s="17">
        <f t="shared" si="12"/>
        <v>4052811.99964413</v>
      </c>
      <c r="Q91" s="5">
        <f t="shared" si="9"/>
        <v>-40</v>
      </c>
      <c r="R91" s="16">
        <f t="shared" si="10"/>
        <v>0.04</v>
      </c>
    </row>
    <row r="92" spans="11:18" x14ac:dyDescent="0.3">
      <c r="K92" s="5">
        <v>81</v>
      </c>
      <c r="L92" s="11">
        <f t="shared" si="6"/>
        <v>9888861279.1316776</v>
      </c>
      <c r="M92" s="11">
        <f t="shared" si="11"/>
        <v>44949364905.144005</v>
      </c>
      <c r="N92" s="13">
        <f t="shared" si="7"/>
        <v>2025</v>
      </c>
      <c r="O92" s="17">
        <f t="shared" si="12"/>
        <v>4883388.2859909516</v>
      </c>
      <c r="Q92" s="5">
        <f t="shared" si="9"/>
        <v>-40.5</v>
      </c>
      <c r="R92" s="16">
        <f t="shared" si="10"/>
        <v>4.0500000000000001E-2</v>
      </c>
    </row>
    <row r="93" spans="11:18" x14ac:dyDescent="0.3">
      <c r="K93" s="5">
        <v>82</v>
      </c>
      <c r="L93" s="11">
        <f t="shared" si="6"/>
        <v>12064410760.540646</v>
      </c>
      <c r="M93" s="11">
        <f t="shared" si="11"/>
        <v>54838226184.275681</v>
      </c>
      <c r="N93" s="13">
        <f t="shared" si="7"/>
        <v>2050</v>
      </c>
      <c r="O93" s="17">
        <f t="shared" si="12"/>
        <v>5885078.4197759246</v>
      </c>
      <c r="Q93" s="5">
        <f t="shared" si="9"/>
        <v>-41</v>
      </c>
      <c r="R93" s="16">
        <f t="shared" si="10"/>
        <v>4.1000000000000002E-2</v>
      </c>
    </row>
    <row r="94" spans="11:18" x14ac:dyDescent="0.3">
      <c r="K94" s="5">
        <v>83</v>
      </c>
      <c r="L94" s="11">
        <f t="shared" si="6"/>
        <v>14718581127.859587</v>
      </c>
      <c r="M94" s="11">
        <f t="shared" si="11"/>
        <v>66902636944.81633</v>
      </c>
      <c r="N94" s="13">
        <f t="shared" si="7"/>
        <v>2075</v>
      </c>
      <c r="O94" s="17">
        <f t="shared" si="12"/>
        <v>7093292.109811849</v>
      </c>
      <c r="Q94" s="5">
        <f t="shared" si="9"/>
        <v>-41.5</v>
      </c>
      <c r="R94" s="16">
        <f t="shared" si="10"/>
        <v>4.1500000000000002E-2</v>
      </c>
    </row>
    <row r="95" spans="11:18" x14ac:dyDescent="0.3">
      <c r="K95" s="5">
        <v>84</v>
      </c>
      <c r="L95" s="11">
        <f t="shared" si="6"/>
        <v>17956668975.988693</v>
      </c>
      <c r="M95" s="11">
        <f t="shared" si="11"/>
        <v>81621218072.675919</v>
      </c>
      <c r="N95" s="13">
        <f t="shared" si="7"/>
        <v>2100</v>
      </c>
      <c r="O95" s="17">
        <f t="shared" si="12"/>
        <v>8550794.7504708059</v>
      </c>
      <c r="Q95" s="5">
        <f t="shared" si="9"/>
        <v>-42</v>
      </c>
      <c r="R95" s="16">
        <f t="shared" si="10"/>
        <v>4.2000000000000003E-2</v>
      </c>
    </row>
    <row r="96" spans="11:18" x14ac:dyDescent="0.3">
      <c r="K96" s="5">
        <v>85</v>
      </c>
      <c r="L96" s="11">
        <f t="shared" si="6"/>
        <v>21907136150.706207</v>
      </c>
      <c r="M96" s="11">
        <f t="shared" si="11"/>
        <v>99577887048.664612</v>
      </c>
      <c r="N96" s="13">
        <f t="shared" si="7"/>
        <v>2125</v>
      </c>
      <c r="O96" s="17">
        <f t="shared" si="12"/>
        <v>10309240.541508803</v>
      </c>
      <c r="Q96" s="5">
        <f t="shared" si="9"/>
        <v>-42.5</v>
      </c>
      <c r="R96" s="16">
        <f t="shared" si="10"/>
        <v>4.2500000000000003E-2</v>
      </c>
    </row>
    <row r="97" spans="11:18" x14ac:dyDescent="0.3">
      <c r="K97" s="5">
        <v>86</v>
      </c>
      <c r="L97" s="11">
        <f t="shared" si="6"/>
        <v>26726706103.861572</v>
      </c>
      <c r="M97" s="11">
        <f t="shared" si="11"/>
        <v>121485023199.37082</v>
      </c>
      <c r="N97" s="13">
        <f t="shared" si="7"/>
        <v>2150</v>
      </c>
      <c r="O97" s="17">
        <f t="shared" si="12"/>
        <v>12431026.094819335</v>
      </c>
      <c r="Q97" s="5">
        <f t="shared" si="9"/>
        <v>-43</v>
      </c>
      <c r="R97" s="16">
        <f t="shared" si="10"/>
        <v>4.3000000000000003E-2</v>
      </c>
    </row>
    <row r="98" spans="11:18" x14ac:dyDescent="0.3">
      <c r="K98" s="5">
        <v>87</v>
      </c>
      <c r="L98" s="11">
        <f t="shared" si="6"/>
        <v>32606581446.711121</v>
      </c>
      <c r="M98" s="11">
        <f t="shared" si="11"/>
        <v>148211729303.23239</v>
      </c>
      <c r="N98" s="13">
        <f t="shared" si="7"/>
        <v>2175</v>
      </c>
      <c r="O98" s="17">
        <f>L98/N98</f>
        <v>14991531.699637298</v>
      </c>
      <c r="Q98" s="5">
        <f t="shared" si="9"/>
        <v>-43.5</v>
      </c>
      <c r="R98" s="16">
        <f t="shared" si="10"/>
        <v>4.3500000000000004E-2</v>
      </c>
    </row>
    <row r="99" spans="11:18" x14ac:dyDescent="0.3">
      <c r="K99" s="5">
        <v>88</v>
      </c>
      <c r="L99" s="11">
        <f t="shared" si="6"/>
        <v>39780029364.987556</v>
      </c>
      <c r="M99" s="11">
        <f t="shared" si="11"/>
        <v>180818310749.94351</v>
      </c>
      <c r="N99" s="13">
        <f t="shared" si="7"/>
        <v>2200</v>
      </c>
      <c r="O99" s="17">
        <f t="shared" si="12"/>
        <v>18081831.529539797</v>
      </c>
      <c r="Q99" s="5">
        <f t="shared" si="9"/>
        <v>-44</v>
      </c>
      <c r="R99" s="16">
        <f t="shared" si="10"/>
        <v>4.3999999999999997E-2</v>
      </c>
    </row>
    <row r="100" spans="11:18" x14ac:dyDescent="0.3">
      <c r="K100" s="5">
        <v>89</v>
      </c>
      <c r="L100" s="11">
        <f t="shared" si="6"/>
        <v>48531635825.284821</v>
      </c>
      <c r="M100" s="11">
        <f t="shared" si="11"/>
        <v>220598340114.93106</v>
      </c>
      <c r="N100" s="13">
        <f t="shared" si="7"/>
        <v>2225</v>
      </c>
      <c r="O100" s="17">
        <f t="shared" si="12"/>
        <v>21811971.157431379</v>
      </c>
      <c r="Q100" s="5">
        <f t="shared" si="9"/>
        <v>-44.5</v>
      </c>
      <c r="R100" s="16">
        <f t="shared" si="10"/>
        <v>4.4499999999999998E-2</v>
      </c>
    </row>
    <row r="101" spans="11:18" x14ac:dyDescent="0.3">
      <c r="K101" s="5">
        <v>90</v>
      </c>
      <c r="L101" s="11">
        <f t="shared" si="6"/>
        <v>59208595706.847481</v>
      </c>
      <c r="M101" s="11">
        <f t="shared" si="11"/>
        <v>269129975940.21588</v>
      </c>
      <c r="N101" s="13">
        <f t="shared" si="7"/>
        <v>2250</v>
      </c>
      <c r="O101" s="17">
        <f>L101/N101</f>
        <v>26314931.425265547</v>
      </c>
      <c r="Q101" s="5">
        <f t="shared" si="9"/>
        <v>-45</v>
      </c>
      <c r="R101" s="16">
        <f t="shared" si="10"/>
        <v>4.4999999999999998E-2</v>
      </c>
    </row>
    <row r="102" spans="11:18" x14ac:dyDescent="0.3">
      <c r="K102" s="5">
        <v>91</v>
      </c>
      <c r="L102" s="11">
        <f t="shared" si="6"/>
        <v>72234486762.353912</v>
      </c>
      <c r="M102" s="11">
        <f t="shared" si="11"/>
        <v>328338571647.06335</v>
      </c>
      <c r="N102" s="13">
        <f t="shared" si="7"/>
        <v>2275</v>
      </c>
      <c r="O102" s="17">
        <f t="shared" ref="O102:O120" si="13">L102/N102</f>
        <v>31751422.75268304</v>
      </c>
      <c r="Q102" s="5">
        <f t="shared" si="9"/>
        <v>-45.5</v>
      </c>
      <c r="R102" s="16">
        <f t="shared" si="10"/>
        <v>4.5499999999999999E-2</v>
      </c>
    </row>
    <row r="103" spans="11:18" x14ac:dyDescent="0.3">
      <c r="K103" s="5">
        <v>92</v>
      </c>
      <c r="L103" s="11">
        <f t="shared" si="6"/>
        <v>88126073850.071793</v>
      </c>
      <c r="M103" s="11">
        <f t="shared" si="11"/>
        <v>400573058409.41724</v>
      </c>
      <c r="N103" s="13">
        <f t="shared" si="7"/>
        <v>2300</v>
      </c>
      <c r="O103" s="17">
        <f t="shared" si="13"/>
        <v>38315684.282639913</v>
      </c>
      <c r="Q103" s="5">
        <f t="shared" si="9"/>
        <v>-46</v>
      </c>
      <c r="R103" s="16">
        <f t="shared" si="10"/>
        <v>4.5999999999999999E-2</v>
      </c>
    </row>
    <row r="104" spans="11:18" x14ac:dyDescent="0.3">
      <c r="K104" s="5">
        <v>93</v>
      </c>
      <c r="L104" s="11">
        <f t="shared" si="6"/>
        <v>107513810097.08755</v>
      </c>
      <c r="M104" s="11">
        <f t="shared" si="11"/>
        <v>488699132259.48901</v>
      </c>
      <c r="N104" s="13">
        <f t="shared" si="7"/>
        <v>2325</v>
      </c>
      <c r="O104" s="17">
        <f t="shared" si="13"/>
        <v>46242498.96648927</v>
      </c>
      <c r="Q104" s="5">
        <f t="shared" si="9"/>
        <v>-46.5</v>
      </c>
      <c r="R104" s="16">
        <f t="shared" si="10"/>
        <v>4.65E-2</v>
      </c>
    </row>
    <row r="105" spans="11:18" x14ac:dyDescent="0.3">
      <c r="K105" s="5">
        <v>94</v>
      </c>
      <c r="L105" s="11">
        <f t="shared" si="6"/>
        <v>131166848318.44681</v>
      </c>
      <c r="M105" s="11">
        <f t="shared" si="11"/>
        <v>596212942356.57654</v>
      </c>
      <c r="N105" s="13">
        <f t="shared" si="7"/>
        <v>2350</v>
      </c>
      <c r="O105" s="17">
        <f t="shared" si="13"/>
        <v>55815680.135509282</v>
      </c>
      <c r="Q105" s="5">
        <f t="shared" si="9"/>
        <v>-47</v>
      </c>
      <c r="R105" s="16">
        <f t="shared" si="10"/>
        <v>4.7E-2</v>
      </c>
    </row>
    <row r="106" spans="11:18" x14ac:dyDescent="0.3">
      <c r="K106" s="5">
        <v>95</v>
      </c>
      <c r="L106" s="11">
        <f t="shared" si="6"/>
        <v>160023554948.50513</v>
      </c>
      <c r="M106" s="11">
        <f t="shared" si="11"/>
        <v>727379790675.02332</v>
      </c>
      <c r="N106" s="13">
        <f t="shared" si="7"/>
        <v>2375</v>
      </c>
      <c r="O106" s="17">
        <f t="shared" si="13"/>
        <v>67378338.925686374</v>
      </c>
      <c r="Q106" s="5">
        <f t="shared" si="9"/>
        <v>-47.5</v>
      </c>
      <c r="R106" s="16">
        <f t="shared" si="10"/>
        <v>4.7500000000000001E-2</v>
      </c>
    </row>
    <row r="107" spans="11:18" x14ac:dyDescent="0.3">
      <c r="K107" s="5">
        <v>96</v>
      </c>
      <c r="L107" s="11">
        <f t="shared" si="6"/>
        <v>195228737037.17621</v>
      </c>
      <c r="M107" s="11">
        <f t="shared" si="11"/>
        <v>887403345623.52844</v>
      </c>
      <c r="N107" s="13">
        <f t="shared" si="7"/>
        <v>2400</v>
      </c>
      <c r="O107" s="17">
        <f t="shared" si="13"/>
        <v>81345307.098823413</v>
      </c>
      <c r="Q107" s="5">
        <f t="shared" si="9"/>
        <v>-48</v>
      </c>
      <c r="R107" s="16">
        <f t="shared" si="10"/>
        <v>4.8000000000000001E-2</v>
      </c>
    </row>
    <row r="108" spans="11:18" x14ac:dyDescent="0.3">
      <c r="K108" s="5">
        <v>97</v>
      </c>
      <c r="L108" s="11">
        <f t="shared" si="6"/>
        <v>238179059185.35501</v>
      </c>
      <c r="M108" s="11">
        <f t="shared" si="11"/>
        <v>1082632082660.7046</v>
      </c>
      <c r="N108" s="13">
        <f t="shared" si="7"/>
        <v>2425</v>
      </c>
      <c r="O108" s="17">
        <f t="shared" si="13"/>
        <v>98218168.736228868</v>
      </c>
      <c r="Q108" s="5">
        <f t="shared" si="9"/>
        <v>-48.5</v>
      </c>
      <c r="R108" s="16">
        <f t="shared" si="10"/>
        <v>4.8500000000000001E-2</v>
      </c>
    </row>
    <row r="109" spans="11:18" x14ac:dyDescent="0.3">
      <c r="K109" s="5">
        <v>98</v>
      </c>
      <c r="L109" s="11">
        <f t="shared" si="6"/>
        <v>290578452206.13306</v>
      </c>
      <c r="M109" s="11">
        <f t="shared" si="11"/>
        <v>1320811141846.0596</v>
      </c>
      <c r="N109" s="13">
        <f t="shared" si="7"/>
        <v>2450</v>
      </c>
      <c r="O109" s="17">
        <f t="shared" si="13"/>
        <v>118603449.88005431</v>
      </c>
      <c r="Q109" s="5">
        <f t="shared" si="9"/>
        <v>-49</v>
      </c>
      <c r="R109" s="16">
        <f t="shared" si="10"/>
        <v>4.9000000000000002E-2</v>
      </c>
    </row>
    <row r="110" spans="11:18" x14ac:dyDescent="0.3">
      <c r="K110" s="5">
        <v>99</v>
      </c>
      <c r="L110" s="11">
        <f t="shared" si="6"/>
        <v>354505711691.48236</v>
      </c>
      <c r="M110" s="11">
        <f t="shared" si="11"/>
        <v>1611389594052.1926</v>
      </c>
      <c r="N110" s="13">
        <f t="shared" si="7"/>
        <v>2475</v>
      </c>
      <c r="O110" s="17">
        <f t="shared" si="13"/>
        <v>143234630.98645753</v>
      </c>
      <c r="Q110" s="5">
        <f t="shared" si="9"/>
        <v>-49.5</v>
      </c>
      <c r="R110" s="16">
        <f t="shared" si="10"/>
        <v>4.9500000000000002E-2</v>
      </c>
    </row>
    <row r="111" spans="11:18" x14ac:dyDescent="0.3">
      <c r="K111" s="5">
        <v>100</v>
      </c>
      <c r="L111" s="11">
        <f t="shared" si="6"/>
        <v>432496968263.60846</v>
      </c>
      <c r="M111" s="11">
        <f t="shared" si="11"/>
        <v>1965895305743.675</v>
      </c>
      <c r="N111" s="13">
        <f t="shared" si="7"/>
        <v>2500</v>
      </c>
      <c r="O111" s="17">
        <f t="shared" si="13"/>
        <v>172998787.30544338</v>
      </c>
      <c r="Q111" s="5">
        <f t="shared" si="9"/>
        <v>-50</v>
      </c>
      <c r="R111" s="16">
        <f t="shared" si="10"/>
        <v>0.05</v>
      </c>
    </row>
    <row r="112" spans="11:18" x14ac:dyDescent="0.3">
      <c r="K112" s="5">
        <v>101</v>
      </c>
      <c r="L112" s="11">
        <f t="shared" si="6"/>
        <v>527646301281.60223</v>
      </c>
      <c r="M112" s="11">
        <f t="shared" si="11"/>
        <v>2398392274007.2837</v>
      </c>
      <c r="N112" s="13">
        <f t="shared" si="7"/>
        <v>2525</v>
      </c>
      <c r="O112" s="17">
        <f>L112/N112</f>
        <v>208968832.19073355</v>
      </c>
      <c r="Q112" s="5">
        <f t="shared" si="9"/>
        <v>-50.5</v>
      </c>
      <c r="R112" s="16">
        <f t="shared" si="10"/>
        <v>5.0500000000000003E-2</v>
      </c>
    </row>
    <row r="113" spans="11:18" x14ac:dyDescent="0.3">
      <c r="K113" s="5">
        <v>102</v>
      </c>
      <c r="L113" s="11">
        <f t="shared" si="6"/>
        <v>643728487563.55469</v>
      </c>
      <c r="M113" s="11">
        <f t="shared" si="11"/>
        <v>2926038575288.8857</v>
      </c>
      <c r="N113" s="13">
        <f t="shared" si="7"/>
        <v>2550</v>
      </c>
      <c r="O113" s="17">
        <f t="shared" si="13"/>
        <v>252442544.14257047</v>
      </c>
      <c r="Q113" s="5">
        <f t="shared" si="9"/>
        <v>-51</v>
      </c>
      <c r="R113" s="16">
        <f t="shared" si="10"/>
        <v>5.1000000000000004E-2</v>
      </c>
    </row>
    <row r="114" spans="11:18" x14ac:dyDescent="0.3">
      <c r="K114" s="5">
        <v>103</v>
      </c>
      <c r="L114" s="11">
        <f t="shared" si="6"/>
        <v>785348754827.53687</v>
      </c>
      <c r="M114" s="11">
        <f t="shared" si="11"/>
        <v>3569767062852.4404</v>
      </c>
      <c r="N114" s="13">
        <f t="shared" si="7"/>
        <v>2575</v>
      </c>
      <c r="O114" s="17">
        <f t="shared" si="13"/>
        <v>304989807.70001429</v>
      </c>
      <c r="Q114" s="5">
        <f t="shared" si="9"/>
        <v>-51.5</v>
      </c>
      <c r="R114" s="16">
        <f t="shared" si="10"/>
        <v>5.1500000000000004E-2</v>
      </c>
    </row>
    <row r="115" spans="11:18" x14ac:dyDescent="0.3">
      <c r="K115" s="5">
        <v>104</v>
      </c>
      <c r="L115" s="11">
        <f t="shared" si="6"/>
        <v>958125480889.59473</v>
      </c>
      <c r="M115" s="11">
        <f t="shared" si="11"/>
        <v>4355115817679.9775</v>
      </c>
      <c r="N115" s="13">
        <f t="shared" si="7"/>
        <v>2600</v>
      </c>
      <c r="O115" s="17">
        <f t="shared" si="13"/>
        <v>368509800.34215182</v>
      </c>
      <c r="Q115" s="5">
        <f t="shared" si="9"/>
        <v>-52</v>
      </c>
      <c r="R115" s="16">
        <f t="shared" si="10"/>
        <v>5.2000000000000005E-2</v>
      </c>
    </row>
    <row r="116" spans="11:18" x14ac:dyDescent="0.3">
      <c r="K116" s="5">
        <v>105</v>
      </c>
      <c r="L116" s="11">
        <f t="shared" si="6"/>
        <v>1168913086685.3057</v>
      </c>
      <c r="M116" s="11">
        <f t="shared" si="11"/>
        <v>5313241298569.5723</v>
      </c>
      <c r="N116" s="13">
        <f t="shared" si="7"/>
        <v>2625</v>
      </c>
      <c r="O116" s="17">
        <f t="shared" si="13"/>
        <v>445300223.49916404</v>
      </c>
      <c r="Q116" s="5">
        <f t="shared" si="9"/>
        <v>-52.5</v>
      </c>
      <c r="R116" s="16">
        <f t="shared" si="10"/>
        <v>5.2499999999999998E-2</v>
      </c>
    </row>
    <row r="117" spans="11:18" x14ac:dyDescent="0.3">
      <c r="K117" s="5">
        <v>106</v>
      </c>
      <c r="L117" s="11">
        <f t="shared" si="6"/>
        <v>1426073965756.0725</v>
      </c>
      <c r="M117" s="11">
        <f t="shared" si="11"/>
        <v>6482154385254.8779</v>
      </c>
      <c r="N117" s="13">
        <f t="shared" si="7"/>
        <v>2650</v>
      </c>
      <c r="O117" s="17">
        <f t="shared" si="13"/>
        <v>538141119.15323496</v>
      </c>
      <c r="Q117" s="5">
        <f t="shared" si="9"/>
        <v>-53</v>
      </c>
      <c r="R117" s="16">
        <f t="shared" si="10"/>
        <v>5.2999999999999999E-2</v>
      </c>
    </row>
    <row r="118" spans="11:18" x14ac:dyDescent="0.3">
      <c r="K118" s="5">
        <v>107</v>
      </c>
      <c r="L118" s="11">
        <f t="shared" si="6"/>
        <v>1739810238222.4087</v>
      </c>
      <c r="M118" s="11">
        <f t="shared" si="11"/>
        <v>7908228351010.9502</v>
      </c>
      <c r="N118" s="13">
        <f t="shared" si="7"/>
        <v>2675</v>
      </c>
      <c r="O118" s="17">
        <f t="shared" si="13"/>
        <v>650396350.73734903</v>
      </c>
      <c r="Q118" s="5">
        <f t="shared" si="9"/>
        <v>-53.5</v>
      </c>
      <c r="R118" s="16">
        <f t="shared" si="10"/>
        <v>5.3499999999999999E-2</v>
      </c>
    </row>
    <row r="119" spans="11:18" x14ac:dyDescent="0.3">
      <c r="K119" s="5">
        <v>108</v>
      </c>
      <c r="L119" s="11">
        <f t="shared" si="6"/>
        <v>2122568490631.3384</v>
      </c>
      <c r="M119" s="11">
        <f t="shared" si="11"/>
        <v>9648038589233.3594</v>
      </c>
      <c r="N119" s="13">
        <f t="shared" si="7"/>
        <v>2700</v>
      </c>
      <c r="O119" s="17">
        <f t="shared" si="13"/>
        <v>786136478.01160681</v>
      </c>
      <c r="Q119" s="5">
        <f t="shared" si="9"/>
        <v>-54</v>
      </c>
      <c r="R119" s="16">
        <f t="shared" si="10"/>
        <v>5.3999999999999999E-2</v>
      </c>
    </row>
    <row r="120" spans="11:18" x14ac:dyDescent="0.3">
      <c r="K120" s="5">
        <v>109</v>
      </c>
      <c r="L120" s="11">
        <f t="shared" si="6"/>
        <v>2589533558570.2329</v>
      </c>
      <c r="M120" s="11">
        <f t="shared" si="11"/>
        <v>11770607079864.697</v>
      </c>
      <c r="N120" s="13">
        <f t="shared" si="7"/>
        <v>2725</v>
      </c>
      <c r="O120" s="17">
        <f t="shared" si="13"/>
        <v>950287544.42944324</v>
      </c>
      <c r="Q120" s="5">
        <f t="shared" si="9"/>
        <v>-54.5</v>
      </c>
      <c r="R120" s="16">
        <f t="shared" si="10"/>
        <v>5.45E-2</v>
      </c>
    </row>
    <row r="121" spans="11:18" x14ac:dyDescent="0.3">
      <c r="K121" s="5">
        <v>110</v>
      </c>
      <c r="L121" s="11">
        <f t="shared" si="6"/>
        <v>3159230941455.6836</v>
      </c>
      <c r="M121" s="11">
        <f t="shared" si="11"/>
        <v>14360140638434.93</v>
      </c>
      <c r="N121" s="13">
        <f t="shared" si="7"/>
        <v>2750</v>
      </c>
      <c r="O121" s="17">
        <f>L121/N121</f>
        <v>1148811251.4384303</v>
      </c>
      <c r="Q121" s="5">
        <f t="shared" si="9"/>
        <v>-55</v>
      </c>
      <c r="R121" s="16">
        <f t="shared" si="10"/>
        <v>5.5E-2</v>
      </c>
    </row>
    <row r="122" spans="11:18" x14ac:dyDescent="0.3">
      <c r="K122" s="5">
        <v>111</v>
      </c>
      <c r="L122" s="11">
        <f t="shared" si="6"/>
        <v>3854261748575.9346</v>
      </c>
      <c r="M122" s="11">
        <f t="shared" si="11"/>
        <v>17519371579890.613</v>
      </c>
      <c r="N122" s="13">
        <f t="shared" si="7"/>
        <v>2775</v>
      </c>
      <c r="O122" s="17">
        <f t="shared" ref="O122:O142" si="14">L122/N122</f>
        <v>1388923152.6399765</v>
      </c>
      <c r="Q122" s="5">
        <f t="shared" si="9"/>
        <v>-55.5</v>
      </c>
      <c r="R122" s="16">
        <f t="shared" si="10"/>
        <v>5.5500000000000001E-2</v>
      </c>
    </row>
    <row r="123" spans="11:18" x14ac:dyDescent="0.3">
      <c r="K123" s="5">
        <v>112</v>
      </c>
      <c r="L123" s="11">
        <f t="shared" si="6"/>
        <v>4702199333262.6387</v>
      </c>
      <c r="M123" s="11">
        <f t="shared" si="11"/>
        <v>21373633328466.547</v>
      </c>
      <c r="N123" s="13">
        <f t="shared" si="7"/>
        <v>2800</v>
      </c>
      <c r="O123" s="17">
        <f t="shared" si="14"/>
        <v>1679356904.7366567</v>
      </c>
      <c r="Q123" s="5">
        <f t="shared" si="9"/>
        <v>-56</v>
      </c>
      <c r="R123" s="16">
        <f t="shared" si="10"/>
        <v>5.6000000000000001E-2</v>
      </c>
    </row>
    <row r="124" spans="11:18" x14ac:dyDescent="0.3">
      <c r="K124" s="5">
        <v>113</v>
      </c>
      <c r="L124" s="11">
        <f t="shared" si="6"/>
        <v>5736683186580.4199</v>
      </c>
      <c r="M124" s="11">
        <f t="shared" si="11"/>
        <v>26075832661729.188</v>
      </c>
      <c r="N124" s="13">
        <f t="shared" si="7"/>
        <v>2825</v>
      </c>
      <c r="O124" s="17">
        <f t="shared" si="14"/>
        <v>2030684313.833777</v>
      </c>
      <c r="Q124" s="5">
        <f t="shared" si="9"/>
        <v>-56.5</v>
      </c>
      <c r="R124" s="16">
        <f t="shared" si="10"/>
        <v>5.6500000000000002E-2</v>
      </c>
    </row>
    <row r="125" spans="11:18" x14ac:dyDescent="0.3">
      <c r="K125" s="5">
        <v>114</v>
      </c>
      <c r="L125" s="11">
        <f t="shared" si="6"/>
        <v>6998753487628.1123</v>
      </c>
      <c r="M125" s="11">
        <f t="shared" si="11"/>
        <v>31812515848309.609</v>
      </c>
      <c r="N125" s="13">
        <f t="shared" si="7"/>
        <v>2850</v>
      </c>
      <c r="O125" s="17">
        <f t="shared" si="14"/>
        <v>2455702978.1151271</v>
      </c>
      <c r="Q125" s="5">
        <f t="shared" si="9"/>
        <v>-57</v>
      </c>
      <c r="R125" s="16">
        <f t="shared" si="10"/>
        <v>5.7000000000000002E-2</v>
      </c>
    </row>
    <row r="126" spans="11:18" x14ac:dyDescent="0.3">
      <c r="K126" s="5">
        <v>115</v>
      </c>
      <c r="L126" s="11">
        <f t="shared" si="6"/>
        <v>8538479254906.2959</v>
      </c>
      <c r="M126" s="11">
        <f t="shared" si="11"/>
        <v>38811269335937.719</v>
      </c>
      <c r="N126" s="13">
        <f t="shared" si="7"/>
        <v>2875</v>
      </c>
      <c r="O126" s="17">
        <f t="shared" si="14"/>
        <v>2969905827.7934942</v>
      </c>
      <c r="Q126" s="5">
        <f t="shared" si="9"/>
        <v>-57.5</v>
      </c>
      <c r="R126" s="16">
        <f t="shared" si="10"/>
        <v>5.7500000000000002E-2</v>
      </c>
    </row>
    <row r="127" spans="11:18" x14ac:dyDescent="0.3">
      <c r="K127" s="5">
        <v>116</v>
      </c>
      <c r="L127" s="11">
        <f t="shared" si="6"/>
        <v>10416944690985.68</v>
      </c>
      <c r="M127" s="11">
        <f t="shared" si="11"/>
        <v>47349748590844.016</v>
      </c>
      <c r="N127" s="13">
        <f t="shared" si="7"/>
        <v>2900</v>
      </c>
      <c r="O127" s="17">
        <f t="shared" si="14"/>
        <v>3592049893.4433379</v>
      </c>
      <c r="Q127" s="5">
        <f t="shared" si="9"/>
        <v>-58</v>
      </c>
      <c r="R127" s="16">
        <f t="shared" si="10"/>
        <v>5.8000000000000003E-2</v>
      </c>
    </row>
    <row r="128" spans="11:18" x14ac:dyDescent="0.3">
      <c r="K128" s="5">
        <v>117</v>
      </c>
      <c r="L128" s="11">
        <f t="shared" si="6"/>
        <v>12708672523002.529</v>
      </c>
      <c r="M128" s="11">
        <f t="shared" si="11"/>
        <v>57766693281829.695</v>
      </c>
      <c r="N128" s="13">
        <f t="shared" si="7"/>
        <v>2925</v>
      </c>
      <c r="O128" s="17">
        <f t="shared" si="14"/>
        <v>4344845307.0094118</v>
      </c>
      <c r="Q128" s="5">
        <f t="shared" si="9"/>
        <v>-58.5</v>
      </c>
      <c r="R128" s="16">
        <f t="shared" si="10"/>
        <v>5.8500000000000003E-2</v>
      </c>
    </row>
    <row r="129" spans="11:18" x14ac:dyDescent="0.3">
      <c r="K129" s="5">
        <v>118</v>
      </c>
      <c r="L129" s="11">
        <f t="shared" si="6"/>
        <v>15504580478063.086</v>
      </c>
      <c r="M129" s="11">
        <f t="shared" si="11"/>
        <v>70475365804832.219</v>
      </c>
      <c r="N129" s="13">
        <f t="shared" si="7"/>
        <v>2950</v>
      </c>
      <c r="O129" s="17">
        <f t="shared" si="14"/>
        <v>5255789992.5637579</v>
      </c>
      <c r="Q129" s="5">
        <f t="shared" si="9"/>
        <v>-59</v>
      </c>
      <c r="R129" s="16">
        <f t="shared" si="10"/>
        <v>5.9000000000000004E-2</v>
      </c>
    </row>
    <row r="130" spans="11:18" x14ac:dyDescent="0.3">
      <c r="K130" s="5">
        <v>119</v>
      </c>
      <c r="L130" s="11">
        <f t="shared" si="6"/>
        <v>18915588183236.965</v>
      </c>
      <c r="M130" s="11">
        <f t="shared" si="11"/>
        <v>85979946282895.313</v>
      </c>
      <c r="N130" s="13">
        <f t="shared" si="7"/>
        <v>2975</v>
      </c>
      <c r="O130" s="17">
        <f t="shared" si="14"/>
        <v>6358180901.9283915</v>
      </c>
      <c r="Q130" s="5">
        <f t="shared" si="9"/>
        <v>-59.5</v>
      </c>
      <c r="R130" s="16">
        <f t="shared" si="10"/>
        <v>5.9500000000000004E-2</v>
      </c>
    </row>
    <row r="131" spans="11:18" x14ac:dyDescent="0.3">
      <c r="K131" s="5">
        <v>120</v>
      </c>
      <c r="L131" s="11">
        <f t="shared" si="6"/>
        <v>23077017583549.094</v>
      </c>
      <c r="M131" s="11">
        <f t="shared" si="11"/>
        <v>104895534466132.28</v>
      </c>
      <c r="N131" s="13">
        <f t="shared" si="7"/>
        <v>3000</v>
      </c>
      <c r="O131" s="17">
        <f t="shared" si="14"/>
        <v>7692339194.5163651</v>
      </c>
      <c r="Q131" s="5">
        <f t="shared" si="9"/>
        <v>-60</v>
      </c>
      <c r="R131" s="16">
        <f t="shared" si="10"/>
        <v>0.06</v>
      </c>
    </row>
    <row r="132" spans="11:18" x14ac:dyDescent="0.3">
      <c r="K132" s="5">
        <v>121</v>
      </c>
      <c r="L132" s="11">
        <f t="shared" si="6"/>
        <v>28153961451929.895</v>
      </c>
      <c r="M132" s="11">
        <f t="shared" si="11"/>
        <v>127972552049681.38</v>
      </c>
      <c r="N132" s="13">
        <f t="shared" si="7"/>
        <v>3025</v>
      </c>
      <c r="O132" s="17">
        <f>L132/N132</f>
        <v>9307094694.8528576</v>
      </c>
      <c r="Q132" s="5">
        <f t="shared" si="9"/>
        <v>-60.5</v>
      </c>
      <c r="R132" s="16">
        <f t="shared" si="10"/>
        <v>6.0499999999999998E-2</v>
      </c>
    </row>
    <row r="133" spans="11:18" x14ac:dyDescent="0.3">
      <c r="K133" s="5">
        <v>122</v>
      </c>
      <c r="L133" s="11">
        <f t="shared" si="6"/>
        <v>34347832971354.473</v>
      </c>
      <c r="M133" s="11">
        <f t="shared" si="11"/>
        <v>156126513501611.28</v>
      </c>
      <c r="N133" s="13">
        <f t="shared" si="7"/>
        <v>3050</v>
      </c>
      <c r="O133" s="17">
        <f t="shared" si="14"/>
        <v>11261584580.771957</v>
      </c>
      <c r="Q133" s="5">
        <f t="shared" si="9"/>
        <v>-61</v>
      </c>
      <c r="R133" s="16">
        <f t="shared" si="10"/>
        <v>6.0999999999999999E-2</v>
      </c>
    </row>
    <row r="134" spans="11:18" x14ac:dyDescent="0.3">
      <c r="K134" s="5">
        <v>123</v>
      </c>
      <c r="L134" s="11">
        <f t="shared" si="6"/>
        <v>41904356225052.453</v>
      </c>
      <c r="M134" s="11">
        <f t="shared" si="11"/>
        <v>190474346472965.75</v>
      </c>
      <c r="N134" s="13">
        <f t="shared" si="7"/>
        <v>3075</v>
      </c>
      <c r="O134" s="17">
        <f t="shared" si="14"/>
        <v>13627432918.716246</v>
      </c>
      <c r="Q134" s="5">
        <f t="shared" si="9"/>
        <v>-61.5</v>
      </c>
      <c r="R134" s="16">
        <f t="shared" si="10"/>
        <v>6.1499999999999999E-2</v>
      </c>
    </row>
    <row r="135" spans="11:18" x14ac:dyDescent="0.3">
      <c r="K135" s="5">
        <v>124</v>
      </c>
      <c r="L135" s="11">
        <f t="shared" si="6"/>
        <v>51123314594563.984</v>
      </c>
      <c r="M135" s="11">
        <f t="shared" si="11"/>
        <v>232378702698018.19</v>
      </c>
      <c r="N135" s="13">
        <f t="shared" si="7"/>
        <v>3100</v>
      </c>
      <c r="O135" s="17">
        <f t="shared" si="14"/>
        <v>16491391804.698059</v>
      </c>
      <c r="Q135" s="5">
        <f t="shared" si="9"/>
        <v>-62</v>
      </c>
      <c r="R135" s="16">
        <f t="shared" si="10"/>
        <v>6.2E-2</v>
      </c>
    </row>
    <row r="136" spans="11:18" x14ac:dyDescent="0.3">
      <c r="K136" s="5">
        <v>125</v>
      </c>
      <c r="L136" s="11">
        <f t="shared" si="6"/>
        <v>62370443805368.063</v>
      </c>
      <c r="M136" s="11">
        <f t="shared" si="11"/>
        <v>283502017292582.19</v>
      </c>
      <c r="N136" s="13">
        <f t="shared" si="7"/>
        <v>3125</v>
      </c>
      <c r="O136" s="17">
        <f t="shared" si="14"/>
        <v>19958542017.717781</v>
      </c>
      <c r="Q136" s="5">
        <f t="shared" si="9"/>
        <v>-62.5</v>
      </c>
      <c r="R136" s="16">
        <f t="shared" si="10"/>
        <v>6.25E-2</v>
      </c>
    </row>
    <row r="137" spans="11:18" x14ac:dyDescent="0.3">
      <c r="K137" s="5">
        <v>126</v>
      </c>
      <c r="L137" s="11">
        <f t="shared" si="6"/>
        <v>76091941442549.031</v>
      </c>
      <c r="M137" s="11">
        <f t="shared" si="11"/>
        <v>345872461097950.25</v>
      </c>
      <c r="N137" s="13">
        <f t="shared" si="7"/>
        <v>3150</v>
      </c>
      <c r="O137" s="17">
        <f t="shared" si="14"/>
        <v>24156171886.523502</v>
      </c>
      <c r="Q137" s="5">
        <f t="shared" si="9"/>
        <v>-63</v>
      </c>
      <c r="R137" s="16">
        <f t="shared" si="10"/>
        <v>6.3E-2</v>
      </c>
    </row>
    <row r="138" spans="11:18" x14ac:dyDescent="0.3">
      <c r="K138" s="5">
        <v>127</v>
      </c>
      <c r="L138" s="11">
        <f t="shared" si="6"/>
        <v>92832168559909.828</v>
      </c>
      <c r="M138" s="11">
        <f t="shared" si="11"/>
        <v>421964402540499.25</v>
      </c>
      <c r="N138" s="13">
        <f t="shared" si="7"/>
        <v>3175</v>
      </c>
      <c r="O138" s="17">
        <f t="shared" si="14"/>
        <v>29238478286.585773</v>
      </c>
      <c r="Q138" s="5">
        <f t="shared" si="9"/>
        <v>-63.5</v>
      </c>
      <c r="R138" s="16">
        <f t="shared" si="10"/>
        <v>6.3500000000000001E-2</v>
      </c>
    </row>
    <row r="139" spans="11:18" x14ac:dyDescent="0.3">
      <c r="K139" s="5">
        <v>128</v>
      </c>
      <c r="L139" s="11">
        <f t="shared" si="6"/>
        <v>113255245643089.97</v>
      </c>
      <c r="M139" s="11">
        <f t="shared" si="11"/>
        <v>514796571100409.06</v>
      </c>
      <c r="N139" s="13">
        <f t="shared" si="7"/>
        <v>3200</v>
      </c>
      <c r="O139" s="17">
        <f t="shared" si="14"/>
        <v>35392264263.465614</v>
      </c>
      <c r="Q139" s="5">
        <f t="shared" si="9"/>
        <v>-64</v>
      </c>
      <c r="R139" s="16">
        <f t="shared" si="10"/>
        <v>6.4000000000000001E-2</v>
      </c>
    </row>
    <row r="140" spans="11:18" x14ac:dyDescent="0.3">
      <c r="K140" s="5">
        <v>129</v>
      </c>
      <c r="L140" s="11">
        <f t="shared" ref="L140:L203" si="15">$I$6*($I$7^K140)</f>
        <v>138171399684569.77</v>
      </c>
      <c r="M140" s="11">
        <f t="shared" si="11"/>
        <v>628051816743499</v>
      </c>
      <c r="N140" s="13">
        <f t="shared" ref="N140:N203" si="16">K140*$I$8</f>
        <v>3225</v>
      </c>
      <c r="O140" s="17">
        <f t="shared" si="14"/>
        <v>42843844863.432487</v>
      </c>
      <c r="Q140" s="5">
        <f t="shared" ref="Q140:Q203" si="17">K140*$I$11</f>
        <v>-64.5</v>
      </c>
      <c r="R140" s="16">
        <f t="shared" ref="R140:R203" si="18">K140*$I$12</f>
        <v>6.4500000000000002E-2</v>
      </c>
    </row>
    <row r="141" spans="11:18" x14ac:dyDescent="0.3">
      <c r="K141" s="5">
        <v>130</v>
      </c>
      <c r="L141" s="11">
        <f t="shared" si="15"/>
        <v>168569107615175.13</v>
      </c>
      <c r="M141" s="11">
        <f t="shared" si="11"/>
        <v>766223216428068.75</v>
      </c>
      <c r="N141" s="13">
        <f t="shared" si="16"/>
        <v>3250</v>
      </c>
      <c r="O141" s="17">
        <f>L141/N141</f>
        <v>51867417727.746193</v>
      </c>
      <c r="Q141" s="5">
        <f t="shared" si="17"/>
        <v>-65</v>
      </c>
      <c r="R141" s="16">
        <f t="shared" si="18"/>
        <v>6.5000000000000002E-2</v>
      </c>
    </row>
    <row r="142" spans="11:18" x14ac:dyDescent="0.3">
      <c r="K142" s="5">
        <v>131</v>
      </c>
      <c r="L142" s="11">
        <f t="shared" si="15"/>
        <v>205654311290513.63</v>
      </c>
      <c r="M142" s="11">
        <f t="shared" si="11"/>
        <v>934792324043243.88</v>
      </c>
      <c r="N142" s="13">
        <f t="shared" si="16"/>
        <v>3275</v>
      </c>
      <c r="O142" s="17">
        <f t="shared" si="14"/>
        <v>62795209554.355309</v>
      </c>
      <c r="Q142" s="5">
        <f t="shared" si="17"/>
        <v>-65.5</v>
      </c>
      <c r="R142" s="16">
        <f t="shared" si="18"/>
        <v>6.5500000000000003E-2</v>
      </c>
    </row>
    <row r="143" spans="11:18" x14ac:dyDescent="0.3">
      <c r="K143" s="5">
        <v>132</v>
      </c>
      <c r="L143" s="11">
        <f t="shared" si="15"/>
        <v>250898259774426.56</v>
      </c>
      <c r="M143" s="11">
        <f t="shared" ref="M143:M206" si="19">M142+L142</f>
        <v>1140446635333757.5</v>
      </c>
      <c r="N143" s="13">
        <f t="shared" si="16"/>
        <v>3300</v>
      </c>
      <c r="O143" s="17">
        <f>L143/N143</f>
        <v>76029775689.220169</v>
      </c>
      <c r="Q143" s="5">
        <f t="shared" si="17"/>
        <v>-66</v>
      </c>
      <c r="R143" s="16">
        <f t="shared" si="18"/>
        <v>6.6000000000000003E-2</v>
      </c>
    </row>
    <row r="144" spans="11:18" x14ac:dyDescent="0.3">
      <c r="K144" s="5">
        <v>133</v>
      </c>
      <c r="L144" s="11">
        <f t="shared" si="15"/>
        <v>306095876924800.44</v>
      </c>
      <c r="M144" s="11">
        <f t="shared" si="19"/>
        <v>1391344895108184</v>
      </c>
      <c r="N144" s="13">
        <f t="shared" si="16"/>
        <v>3325</v>
      </c>
      <c r="O144" s="17">
        <f t="shared" ref="O144:O207" si="20">L144/N144</f>
        <v>92058910353.323441</v>
      </c>
      <c r="Q144" s="5">
        <f t="shared" si="17"/>
        <v>-66.5</v>
      </c>
      <c r="R144" s="16">
        <f t="shared" si="18"/>
        <v>6.6500000000000004E-2</v>
      </c>
    </row>
    <row r="145" spans="11:18" x14ac:dyDescent="0.3">
      <c r="K145" s="5">
        <v>134</v>
      </c>
      <c r="L145" s="11">
        <f t="shared" si="15"/>
        <v>373436969848256.5</v>
      </c>
      <c r="M145" s="11">
        <f t="shared" si="19"/>
        <v>1697440772032984.5</v>
      </c>
      <c r="N145" s="13">
        <f t="shared" si="16"/>
        <v>3350</v>
      </c>
      <c r="O145" s="17">
        <f t="shared" si="20"/>
        <v>111473722342.76314</v>
      </c>
      <c r="Q145" s="5">
        <f t="shared" si="17"/>
        <v>-67</v>
      </c>
      <c r="R145" s="16">
        <f t="shared" si="18"/>
        <v>6.7000000000000004E-2</v>
      </c>
    </row>
    <row r="146" spans="11:18" x14ac:dyDescent="0.3">
      <c r="K146" s="5">
        <v>135</v>
      </c>
      <c r="L146" s="11">
        <f t="shared" si="15"/>
        <v>455593103214872.94</v>
      </c>
      <c r="M146" s="11">
        <f t="shared" si="19"/>
        <v>2070877741881241</v>
      </c>
      <c r="N146" s="13">
        <f t="shared" si="16"/>
        <v>3375</v>
      </c>
      <c r="O146" s="17">
        <f t="shared" si="20"/>
        <v>134990549100.70309</v>
      </c>
      <c r="Q146" s="5">
        <f t="shared" si="17"/>
        <v>-67.5</v>
      </c>
      <c r="R146" s="16">
        <f t="shared" si="18"/>
        <v>6.7500000000000004E-2</v>
      </c>
    </row>
    <row r="147" spans="11:18" x14ac:dyDescent="0.3">
      <c r="K147" s="5">
        <v>136</v>
      </c>
      <c r="L147" s="11">
        <f t="shared" si="15"/>
        <v>555823585922144.88</v>
      </c>
      <c r="M147" s="11">
        <f t="shared" si="19"/>
        <v>2526470845096114</v>
      </c>
      <c r="N147" s="13">
        <f t="shared" si="16"/>
        <v>3400</v>
      </c>
      <c r="O147" s="17">
        <f t="shared" si="20"/>
        <v>163477525271.21909</v>
      </c>
      <c r="Q147" s="5">
        <f t="shared" si="17"/>
        <v>-68</v>
      </c>
      <c r="R147" s="16">
        <f t="shared" si="18"/>
        <v>6.8000000000000005E-2</v>
      </c>
    </row>
    <row r="148" spans="11:18" x14ac:dyDescent="0.3">
      <c r="K148" s="5">
        <v>137</v>
      </c>
      <c r="L148" s="11">
        <f t="shared" si="15"/>
        <v>678104774825016.88</v>
      </c>
      <c r="M148" s="11">
        <f t="shared" si="19"/>
        <v>3082294431018259</v>
      </c>
      <c r="N148" s="13">
        <f t="shared" si="16"/>
        <v>3425</v>
      </c>
      <c r="O148" s="17">
        <f t="shared" si="20"/>
        <v>197986795569.34799</v>
      </c>
      <c r="Q148" s="5">
        <f t="shared" si="17"/>
        <v>-68.5</v>
      </c>
      <c r="R148" s="16">
        <f t="shared" si="18"/>
        <v>6.8500000000000005E-2</v>
      </c>
    </row>
    <row r="149" spans="11:18" x14ac:dyDescent="0.3">
      <c r="K149" s="5">
        <v>138</v>
      </c>
      <c r="L149" s="11">
        <f t="shared" si="15"/>
        <v>827287825286520.38</v>
      </c>
      <c r="M149" s="11">
        <f t="shared" si="19"/>
        <v>3760399205843276</v>
      </c>
      <c r="N149" s="13">
        <f t="shared" si="16"/>
        <v>3450</v>
      </c>
      <c r="O149" s="17">
        <f t="shared" si="20"/>
        <v>239793572546.8175</v>
      </c>
      <c r="Q149" s="5">
        <f t="shared" si="17"/>
        <v>-69</v>
      </c>
      <c r="R149" s="16">
        <f t="shared" si="18"/>
        <v>6.9000000000000006E-2</v>
      </c>
    </row>
    <row r="150" spans="11:18" x14ac:dyDescent="0.3">
      <c r="K150" s="5">
        <v>139</v>
      </c>
      <c r="L150" s="11">
        <f t="shared" si="15"/>
        <v>1009291146849554.8</v>
      </c>
      <c r="M150" s="11">
        <f t="shared" si="19"/>
        <v>4587687031129796</v>
      </c>
      <c r="N150" s="13">
        <f t="shared" si="16"/>
        <v>3475</v>
      </c>
      <c r="O150" s="17">
        <f t="shared" si="20"/>
        <v>290443495496.27472</v>
      </c>
      <c r="Q150" s="5">
        <f t="shared" si="17"/>
        <v>-69.5</v>
      </c>
      <c r="R150" s="16">
        <f t="shared" si="18"/>
        <v>6.9500000000000006E-2</v>
      </c>
    </row>
    <row r="151" spans="11:18" x14ac:dyDescent="0.3">
      <c r="K151" s="5">
        <v>140</v>
      </c>
      <c r="L151" s="11">
        <f t="shared" si="15"/>
        <v>1231335199156457</v>
      </c>
      <c r="M151" s="11">
        <f t="shared" si="19"/>
        <v>5596978177979351</v>
      </c>
      <c r="N151" s="13">
        <f t="shared" si="16"/>
        <v>3500</v>
      </c>
      <c r="O151" s="17">
        <f t="shared" si="20"/>
        <v>351810056901.84485</v>
      </c>
      <c r="Q151" s="5">
        <f t="shared" si="17"/>
        <v>-70</v>
      </c>
      <c r="R151" s="16">
        <f t="shared" si="18"/>
        <v>7.0000000000000007E-2</v>
      </c>
    </row>
    <row r="152" spans="11:18" x14ac:dyDescent="0.3">
      <c r="K152" s="5">
        <v>141</v>
      </c>
      <c r="L152" s="11">
        <f t="shared" si="15"/>
        <v>1502228942970877.5</v>
      </c>
      <c r="M152" s="11">
        <f t="shared" si="19"/>
        <v>6828313377135808</v>
      </c>
      <c r="N152" s="13">
        <f t="shared" si="16"/>
        <v>3525</v>
      </c>
      <c r="O152" s="17">
        <f t="shared" si="20"/>
        <v>426164239140.67444</v>
      </c>
      <c r="Q152" s="5">
        <f t="shared" si="17"/>
        <v>-70.5</v>
      </c>
      <c r="R152" s="16">
        <f t="shared" si="18"/>
        <v>7.0500000000000007E-2</v>
      </c>
    </row>
    <row r="153" spans="11:18" x14ac:dyDescent="0.3">
      <c r="K153" s="5">
        <v>142</v>
      </c>
      <c r="L153" s="11">
        <f t="shared" si="15"/>
        <v>1832719310424470.3</v>
      </c>
      <c r="M153" s="11">
        <f t="shared" si="19"/>
        <v>8330542320106686</v>
      </c>
      <c r="N153" s="13">
        <f t="shared" si="16"/>
        <v>3550</v>
      </c>
      <c r="O153" s="17">
        <f t="shared" si="20"/>
        <v>516258960682.94934</v>
      </c>
      <c r="Q153" s="5">
        <f t="shared" si="17"/>
        <v>-71</v>
      </c>
      <c r="R153" s="16">
        <f t="shared" si="18"/>
        <v>7.1000000000000008E-2</v>
      </c>
    </row>
    <row r="154" spans="11:18" x14ac:dyDescent="0.3">
      <c r="K154" s="5">
        <v>143</v>
      </c>
      <c r="L154" s="11">
        <f t="shared" si="15"/>
        <v>2235917558717854</v>
      </c>
      <c r="M154" s="11">
        <f t="shared" si="19"/>
        <v>1.0163261630531156E+16</v>
      </c>
      <c r="N154" s="13">
        <f t="shared" si="16"/>
        <v>3575</v>
      </c>
      <c r="O154" s="17">
        <f>L154/N154</f>
        <v>625431484956.04309</v>
      </c>
      <c r="Q154" s="5">
        <f t="shared" si="17"/>
        <v>-71.5</v>
      </c>
      <c r="R154" s="16">
        <f t="shared" si="18"/>
        <v>7.1500000000000008E-2</v>
      </c>
    </row>
    <row r="155" spans="11:18" x14ac:dyDescent="0.3">
      <c r="K155" s="5">
        <v>144</v>
      </c>
      <c r="L155" s="11">
        <f t="shared" si="15"/>
        <v>2727819421635781</v>
      </c>
      <c r="M155" s="11">
        <f t="shared" si="19"/>
        <v>1.239917918924901E+16</v>
      </c>
      <c r="N155" s="13">
        <f t="shared" si="16"/>
        <v>3600</v>
      </c>
      <c r="O155" s="17">
        <f t="shared" si="20"/>
        <v>757727617121.05029</v>
      </c>
      <c r="Q155" s="5">
        <f t="shared" si="17"/>
        <v>-72</v>
      </c>
      <c r="R155" s="16">
        <f t="shared" si="18"/>
        <v>7.2000000000000008E-2</v>
      </c>
    </row>
    <row r="156" spans="11:18" x14ac:dyDescent="0.3">
      <c r="K156" s="5">
        <v>145</v>
      </c>
      <c r="L156" s="11">
        <f t="shared" si="15"/>
        <v>3327939694395653</v>
      </c>
      <c r="M156" s="11">
        <f t="shared" si="19"/>
        <v>1.5126998610884792E+16</v>
      </c>
      <c r="N156" s="13">
        <f t="shared" si="16"/>
        <v>3625</v>
      </c>
      <c r="O156" s="17">
        <f t="shared" si="20"/>
        <v>918052329488.45605</v>
      </c>
      <c r="Q156" s="5">
        <f t="shared" si="17"/>
        <v>-72.5</v>
      </c>
      <c r="R156" s="16">
        <f t="shared" si="18"/>
        <v>7.2499999999999995E-2</v>
      </c>
    </row>
    <row r="157" spans="11:18" x14ac:dyDescent="0.3">
      <c r="K157" s="5">
        <v>146</v>
      </c>
      <c r="L157" s="11">
        <f t="shared" si="15"/>
        <v>4060086427162696.5</v>
      </c>
      <c r="M157" s="11">
        <f t="shared" si="19"/>
        <v>1.8454938305280444E+16</v>
      </c>
      <c r="N157" s="13">
        <f t="shared" si="16"/>
        <v>3650</v>
      </c>
      <c r="O157" s="17">
        <f t="shared" si="20"/>
        <v>1112352445797.999</v>
      </c>
      <c r="Q157" s="5">
        <f t="shared" si="17"/>
        <v>-73</v>
      </c>
      <c r="R157" s="16">
        <f t="shared" si="18"/>
        <v>7.2999999999999995E-2</v>
      </c>
    </row>
    <row r="158" spans="11:18" x14ac:dyDescent="0.3">
      <c r="K158" s="5">
        <v>147</v>
      </c>
      <c r="L158" s="11">
        <f t="shared" si="15"/>
        <v>4953305441138489</v>
      </c>
      <c r="M158" s="11">
        <f t="shared" si="19"/>
        <v>2.251502473244314E+16</v>
      </c>
      <c r="N158" s="13">
        <f t="shared" si="16"/>
        <v>3675</v>
      </c>
      <c r="O158" s="17">
        <f t="shared" si="20"/>
        <v>1347838215275.7793</v>
      </c>
      <c r="Q158" s="5">
        <f t="shared" si="17"/>
        <v>-73.5</v>
      </c>
      <c r="R158" s="16">
        <f t="shared" si="18"/>
        <v>7.3499999999999996E-2</v>
      </c>
    </row>
    <row r="159" spans="11:18" x14ac:dyDescent="0.3">
      <c r="K159" s="5">
        <v>148</v>
      </c>
      <c r="L159" s="11">
        <f t="shared" si="15"/>
        <v>6043032638188957</v>
      </c>
      <c r="M159" s="11">
        <f t="shared" si="19"/>
        <v>2.7468330173581628E+16</v>
      </c>
      <c r="N159" s="13">
        <f t="shared" si="16"/>
        <v>3700</v>
      </c>
      <c r="O159" s="17">
        <f t="shared" si="20"/>
        <v>1633252064375.3938</v>
      </c>
      <c r="Q159" s="5">
        <f t="shared" si="17"/>
        <v>-74</v>
      </c>
      <c r="R159" s="16">
        <f t="shared" si="18"/>
        <v>7.3999999999999996E-2</v>
      </c>
    </row>
    <row r="160" spans="11:18" x14ac:dyDescent="0.3">
      <c r="K160" s="5">
        <v>149</v>
      </c>
      <c r="L160" s="11">
        <f t="shared" si="15"/>
        <v>7372499818590527</v>
      </c>
      <c r="M160" s="11">
        <f t="shared" si="19"/>
        <v>3.3511362811770584E+16</v>
      </c>
      <c r="N160" s="13">
        <f t="shared" si="16"/>
        <v>3725</v>
      </c>
      <c r="O160" s="17">
        <f t="shared" si="20"/>
        <v>1979194582171.9536</v>
      </c>
      <c r="Q160" s="5">
        <f t="shared" si="17"/>
        <v>-74.5</v>
      </c>
      <c r="R160" s="16">
        <f t="shared" si="18"/>
        <v>7.4499999999999997E-2</v>
      </c>
    </row>
    <row r="161" spans="11:18" x14ac:dyDescent="0.3">
      <c r="K161" s="5">
        <v>150</v>
      </c>
      <c r="L161" s="11">
        <f t="shared" si="15"/>
        <v>8994449778680443</v>
      </c>
      <c r="M161" s="11">
        <f t="shared" si="19"/>
        <v>4.0883862630361112E+16</v>
      </c>
      <c r="N161" s="13">
        <f t="shared" si="16"/>
        <v>3750</v>
      </c>
      <c r="O161" s="17">
        <f t="shared" si="20"/>
        <v>2398519940981.4517</v>
      </c>
      <c r="Q161" s="5">
        <f t="shared" si="17"/>
        <v>-75</v>
      </c>
      <c r="R161" s="16">
        <f t="shared" si="18"/>
        <v>7.4999999999999997E-2</v>
      </c>
    </row>
    <row r="162" spans="11:18" x14ac:dyDescent="0.3">
      <c r="K162" s="5">
        <v>151</v>
      </c>
      <c r="L162" s="11">
        <f t="shared" si="15"/>
        <v>1.097322872999014E+16</v>
      </c>
      <c r="M162" s="11">
        <f t="shared" si="19"/>
        <v>4.9878312409041552E+16</v>
      </c>
      <c r="N162" s="13">
        <f t="shared" si="16"/>
        <v>3775</v>
      </c>
      <c r="O162" s="17">
        <f t="shared" si="20"/>
        <v>2906815557613.2822</v>
      </c>
      <c r="Q162" s="5">
        <f t="shared" si="17"/>
        <v>-75.5</v>
      </c>
      <c r="R162" s="16">
        <f t="shared" si="18"/>
        <v>7.5499999999999998E-2</v>
      </c>
    </row>
    <row r="163" spans="11:18" x14ac:dyDescent="0.3">
      <c r="K163" s="5">
        <v>152</v>
      </c>
      <c r="L163" s="11">
        <f t="shared" si="15"/>
        <v>1.3387339050587968E+16</v>
      </c>
      <c r="M163" s="11">
        <f t="shared" si="19"/>
        <v>6.0851541139031696E+16</v>
      </c>
      <c r="N163" s="13">
        <f t="shared" si="16"/>
        <v>3800</v>
      </c>
      <c r="O163" s="17">
        <f t="shared" si="20"/>
        <v>3522983960681.0444</v>
      </c>
      <c r="Q163" s="5">
        <f t="shared" si="17"/>
        <v>-76</v>
      </c>
      <c r="R163" s="16">
        <f t="shared" si="18"/>
        <v>7.5999999999999998E-2</v>
      </c>
    </row>
    <row r="164" spans="11:18" x14ac:dyDescent="0.3">
      <c r="K164" s="5">
        <v>153</v>
      </c>
      <c r="L164" s="11">
        <f t="shared" si="15"/>
        <v>1.6332553641717322E+16</v>
      </c>
      <c r="M164" s="11">
        <f t="shared" si="19"/>
        <v>7.4238880189619664E+16</v>
      </c>
      <c r="N164" s="13">
        <f t="shared" si="16"/>
        <v>3825</v>
      </c>
      <c r="O164" s="17">
        <f t="shared" si="20"/>
        <v>4269948664501.2607</v>
      </c>
      <c r="Q164" s="5">
        <f t="shared" si="17"/>
        <v>-76.5</v>
      </c>
      <c r="R164" s="16">
        <f t="shared" si="18"/>
        <v>7.6499999999999999E-2</v>
      </c>
    </row>
    <row r="165" spans="11:18" x14ac:dyDescent="0.3">
      <c r="K165" s="5">
        <v>154</v>
      </c>
      <c r="L165" s="11">
        <f t="shared" si="15"/>
        <v>1.9925715442895132E+16</v>
      </c>
      <c r="M165" s="11">
        <f t="shared" si="19"/>
        <v>9.0571433831336992E+16</v>
      </c>
      <c r="N165" s="13">
        <f t="shared" si="16"/>
        <v>3850</v>
      </c>
      <c r="O165" s="17">
        <f t="shared" si="20"/>
        <v>5175510504648.0859</v>
      </c>
      <c r="Q165" s="5">
        <f t="shared" si="17"/>
        <v>-77</v>
      </c>
      <c r="R165" s="16">
        <f t="shared" si="18"/>
        <v>7.6999999999999999E-2</v>
      </c>
    </row>
    <row r="166" spans="11:18" x14ac:dyDescent="0.3">
      <c r="K166" s="5">
        <v>155</v>
      </c>
      <c r="L166" s="11">
        <f t="shared" si="15"/>
        <v>2.430937284033206E+16</v>
      </c>
      <c r="M166" s="11">
        <f t="shared" si="19"/>
        <v>1.1049714927423213E+17</v>
      </c>
      <c r="N166" s="13">
        <f t="shared" si="16"/>
        <v>3875</v>
      </c>
      <c r="O166" s="17">
        <f t="shared" si="20"/>
        <v>6273386539440.5313</v>
      </c>
      <c r="Q166" s="5">
        <f t="shared" si="17"/>
        <v>-77.5</v>
      </c>
      <c r="R166" s="16">
        <f t="shared" si="18"/>
        <v>7.7499999999999999E-2</v>
      </c>
    </row>
    <row r="167" spans="11:18" x14ac:dyDescent="0.3">
      <c r="K167" s="5">
        <v>156</v>
      </c>
      <c r="L167" s="11">
        <f t="shared" si="15"/>
        <v>2.9657434865205112E+16</v>
      </c>
      <c r="M167" s="11">
        <f t="shared" si="19"/>
        <v>1.3480652211456419E+17</v>
      </c>
      <c r="N167" s="13">
        <f t="shared" si="16"/>
        <v>3900</v>
      </c>
      <c r="O167" s="17">
        <f t="shared" si="20"/>
        <v>7604470478257.7207</v>
      </c>
      <c r="Q167" s="5">
        <f t="shared" si="17"/>
        <v>-78</v>
      </c>
      <c r="R167" s="16">
        <f t="shared" si="18"/>
        <v>7.8E-2</v>
      </c>
    </row>
    <row r="168" spans="11:18" x14ac:dyDescent="0.3">
      <c r="K168" s="5">
        <v>157</v>
      </c>
      <c r="L168" s="11">
        <f t="shared" si="15"/>
        <v>3.6182070535550232E+16</v>
      </c>
      <c r="M168" s="11">
        <f t="shared" si="19"/>
        <v>1.6446395697976931E+17</v>
      </c>
      <c r="N168" s="13">
        <f t="shared" si="16"/>
        <v>3925</v>
      </c>
      <c r="O168" s="17">
        <f t="shared" si="20"/>
        <v>9218361919885.4102</v>
      </c>
      <c r="Q168" s="5">
        <f t="shared" si="17"/>
        <v>-78.5</v>
      </c>
      <c r="R168" s="16">
        <f t="shared" si="18"/>
        <v>7.85E-2</v>
      </c>
    </row>
    <row r="169" spans="11:18" x14ac:dyDescent="0.3">
      <c r="K169" s="5">
        <v>158</v>
      </c>
      <c r="L169" s="11">
        <f t="shared" si="15"/>
        <v>4.414212605337128E+16</v>
      </c>
      <c r="M169" s="11">
        <f t="shared" si="19"/>
        <v>2.0064602751531955E+17</v>
      </c>
      <c r="N169" s="13">
        <f t="shared" si="16"/>
        <v>3950</v>
      </c>
      <c r="O169" s="17">
        <f t="shared" si="20"/>
        <v>11175221785663.615</v>
      </c>
      <c r="Q169" s="5">
        <f t="shared" si="17"/>
        <v>-79</v>
      </c>
      <c r="R169" s="16">
        <f t="shared" si="18"/>
        <v>7.9000000000000001E-2</v>
      </c>
    </row>
    <row r="170" spans="11:18" x14ac:dyDescent="0.3">
      <c r="K170" s="5">
        <v>159</v>
      </c>
      <c r="L170" s="11">
        <f t="shared" si="15"/>
        <v>5.3853393785112968E+16</v>
      </c>
      <c r="M170" s="11">
        <f t="shared" si="19"/>
        <v>2.4478815356869082E+17</v>
      </c>
      <c r="N170" s="13">
        <f t="shared" si="16"/>
        <v>3975</v>
      </c>
      <c r="O170" s="17">
        <f t="shared" si="20"/>
        <v>13548023593739.111</v>
      </c>
      <c r="Q170" s="5">
        <f t="shared" si="17"/>
        <v>-79.5</v>
      </c>
      <c r="R170" s="16">
        <f t="shared" si="18"/>
        <v>7.9500000000000001E-2</v>
      </c>
    </row>
    <row r="171" spans="11:18" x14ac:dyDescent="0.3">
      <c r="K171" s="5">
        <v>160</v>
      </c>
      <c r="L171" s="11">
        <f t="shared" si="15"/>
        <v>6.5701140417837816E+16</v>
      </c>
      <c r="M171" s="11">
        <f t="shared" si="19"/>
        <v>2.9864154735380378E+17</v>
      </c>
      <c r="N171" s="13">
        <f t="shared" si="16"/>
        <v>4000</v>
      </c>
      <c r="O171" s="17">
        <f t="shared" si="20"/>
        <v>16425285104459.453</v>
      </c>
      <c r="Q171" s="5">
        <f t="shared" si="17"/>
        <v>-80</v>
      </c>
      <c r="R171" s="16">
        <f t="shared" si="18"/>
        <v>0.08</v>
      </c>
    </row>
    <row r="172" spans="11:18" x14ac:dyDescent="0.3">
      <c r="K172" s="5">
        <v>161</v>
      </c>
      <c r="L172" s="11">
        <f t="shared" si="15"/>
        <v>8.0155391309762128E+16</v>
      </c>
      <c r="M172" s="11">
        <f t="shared" si="19"/>
        <v>3.643426877716416E+17</v>
      </c>
      <c r="N172" s="13">
        <f t="shared" si="16"/>
        <v>4025</v>
      </c>
      <c r="O172" s="17">
        <f t="shared" si="20"/>
        <v>19914382934102.391</v>
      </c>
      <c r="Q172" s="5">
        <f t="shared" si="17"/>
        <v>-80.5</v>
      </c>
      <c r="R172" s="16">
        <f t="shared" si="18"/>
        <v>8.0500000000000002E-2</v>
      </c>
    </row>
    <row r="173" spans="11:18" x14ac:dyDescent="0.3">
      <c r="K173" s="5">
        <v>162</v>
      </c>
      <c r="L173" s="11">
        <f t="shared" si="15"/>
        <v>9.7789577397909792E+16</v>
      </c>
      <c r="M173" s="11">
        <f t="shared" si="19"/>
        <v>4.4449807908140371E+17</v>
      </c>
      <c r="N173" s="13">
        <f t="shared" si="16"/>
        <v>4050</v>
      </c>
      <c r="O173" s="17">
        <f t="shared" si="20"/>
        <v>24145574666150.566</v>
      </c>
      <c r="Q173" s="5">
        <f t="shared" si="17"/>
        <v>-81</v>
      </c>
      <c r="R173" s="16">
        <f t="shared" si="18"/>
        <v>8.1000000000000003E-2</v>
      </c>
    </row>
    <row r="174" spans="11:18" x14ac:dyDescent="0.3">
      <c r="K174" s="5">
        <v>163</v>
      </c>
      <c r="L174" s="11">
        <f t="shared" si="15"/>
        <v>1.1930328442544995E+17</v>
      </c>
      <c r="M174" s="11">
        <f t="shared" si="19"/>
        <v>5.4228765647931354E+17</v>
      </c>
      <c r="N174" s="13">
        <f t="shared" si="16"/>
        <v>4075</v>
      </c>
      <c r="O174" s="17">
        <f t="shared" si="20"/>
        <v>29276879613607.352</v>
      </c>
      <c r="Q174" s="5">
        <f t="shared" si="17"/>
        <v>-81.5</v>
      </c>
      <c r="R174" s="16">
        <f t="shared" si="18"/>
        <v>8.1500000000000003E-2</v>
      </c>
    </row>
    <row r="175" spans="11:18" x14ac:dyDescent="0.3">
      <c r="K175" s="5">
        <v>164</v>
      </c>
      <c r="L175" s="11">
        <f t="shared" si="15"/>
        <v>1.4555000699904893E+17</v>
      </c>
      <c r="M175" s="11">
        <f t="shared" si="19"/>
        <v>6.6159094090476352E+17</v>
      </c>
      <c r="N175" s="13">
        <f t="shared" si="16"/>
        <v>4100</v>
      </c>
      <c r="O175" s="17">
        <f t="shared" si="20"/>
        <v>35500001707085.102</v>
      </c>
      <c r="Q175" s="5">
        <f t="shared" si="17"/>
        <v>-82</v>
      </c>
      <c r="R175" s="16">
        <f t="shared" si="18"/>
        <v>8.2000000000000003E-2</v>
      </c>
    </row>
    <row r="176" spans="11:18" x14ac:dyDescent="0.3">
      <c r="K176" s="5">
        <v>165</v>
      </c>
      <c r="L176" s="11">
        <f t="shared" si="15"/>
        <v>1.7757100853883968E+17</v>
      </c>
      <c r="M176" s="11">
        <f t="shared" si="19"/>
        <v>8.0714094790381248E+17</v>
      </c>
      <c r="N176" s="13">
        <f t="shared" si="16"/>
        <v>4125</v>
      </c>
      <c r="O176" s="17">
        <f t="shared" si="20"/>
        <v>43047517221536.891</v>
      </c>
      <c r="Q176" s="5">
        <f t="shared" si="17"/>
        <v>-82.5</v>
      </c>
      <c r="R176" s="16">
        <f t="shared" si="18"/>
        <v>8.2500000000000004E-2</v>
      </c>
    </row>
    <row r="177" spans="11:18" x14ac:dyDescent="0.3">
      <c r="K177" s="5">
        <v>166</v>
      </c>
      <c r="L177" s="11">
        <f t="shared" si="15"/>
        <v>2.1663663041738438E+17</v>
      </c>
      <c r="M177" s="11">
        <f t="shared" si="19"/>
        <v>9.8471195644265216E+17</v>
      </c>
      <c r="N177" s="13">
        <f t="shared" si="16"/>
        <v>4150</v>
      </c>
      <c r="O177" s="17">
        <f t="shared" si="20"/>
        <v>52201597690936</v>
      </c>
      <c r="Q177" s="5">
        <f t="shared" si="17"/>
        <v>-83</v>
      </c>
      <c r="R177" s="16">
        <f t="shared" si="18"/>
        <v>8.3000000000000004E-2</v>
      </c>
    </row>
    <row r="178" spans="11:18" x14ac:dyDescent="0.3">
      <c r="K178" s="5">
        <v>167</v>
      </c>
      <c r="L178" s="11">
        <f t="shared" si="15"/>
        <v>2.6429668910920899E+17</v>
      </c>
      <c r="M178" s="11">
        <f t="shared" si="19"/>
        <v>1.2013485868600366E+18</v>
      </c>
      <c r="N178" s="13">
        <f t="shared" si="16"/>
        <v>4175</v>
      </c>
      <c r="O178" s="17">
        <f t="shared" si="20"/>
        <v>63304596193822.516</v>
      </c>
      <c r="Q178" s="5">
        <f t="shared" si="17"/>
        <v>-83.5</v>
      </c>
      <c r="R178" s="16">
        <f t="shared" si="18"/>
        <v>8.3500000000000005E-2</v>
      </c>
    </row>
    <row r="179" spans="11:18" x14ac:dyDescent="0.3">
      <c r="K179" s="5">
        <v>168</v>
      </c>
      <c r="L179" s="11">
        <f t="shared" si="15"/>
        <v>3.2244196071323488E+17</v>
      </c>
      <c r="M179" s="11">
        <f t="shared" si="19"/>
        <v>1.4656452759692457E+18</v>
      </c>
      <c r="N179" s="13">
        <f t="shared" si="16"/>
        <v>4200</v>
      </c>
      <c r="O179" s="17">
        <f t="shared" si="20"/>
        <v>76771895407913.063</v>
      </c>
      <c r="Q179" s="5">
        <f t="shared" si="17"/>
        <v>-84</v>
      </c>
      <c r="R179" s="16">
        <f t="shared" si="18"/>
        <v>8.4000000000000005E-2</v>
      </c>
    </row>
    <row r="180" spans="11:18" x14ac:dyDescent="0.3">
      <c r="K180" s="5">
        <v>169</v>
      </c>
      <c r="L180" s="11">
        <f t="shared" si="15"/>
        <v>3.9337919207014656E+17</v>
      </c>
      <c r="M180" s="11">
        <f t="shared" si="19"/>
        <v>1.7880872366824806E+18</v>
      </c>
      <c r="N180" s="13">
        <f t="shared" si="16"/>
        <v>4225</v>
      </c>
      <c r="O180" s="17">
        <f t="shared" si="20"/>
        <v>93107501081691.5</v>
      </c>
      <c r="Q180" s="5">
        <f t="shared" si="17"/>
        <v>-84.5</v>
      </c>
      <c r="R180" s="16">
        <f t="shared" si="18"/>
        <v>8.4500000000000006E-2</v>
      </c>
    </row>
    <row r="181" spans="11:18" x14ac:dyDescent="0.3">
      <c r="K181" s="5">
        <v>170</v>
      </c>
      <c r="L181" s="11">
        <f t="shared" si="15"/>
        <v>4.7992261432557875E+17</v>
      </c>
      <c r="M181" s="11">
        <f t="shared" si="19"/>
        <v>2.1814664287526272E+18</v>
      </c>
      <c r="N181" s="13">
        <f t="shared" si="16"/>
        <v>4250</v>
      </c>
      <c r="O181" s="17">
        <f t="shared" si="20"/>
        <v>112922968076606.77</v>
      </c>
      <c r="Q181" s="5">
        <f t="shared" si="17"/>
        <v>-85</v>
      </c>
      <c r="R181" s="16">
        <f t="shared" si="18"/>
        <v>8.5000000000000006E-2</v>
      </c>
    </row>
    <row r="182" spans="11:18" x14ac:dyDescent="0.3">
      <c r="K182" s="5">
        <v>171</v>
      </c>
      <c r="L182" s="11">
        <f t="shared" si="15"/>
        <v>5.8550558947720614E+17</v>
      </c>
      <c r="M182" s="11">
        <f t="shared" si="19"/>
        <v>2.661389043078206E+18</v>
      </c>
      <c r="N182" s="13">
        <f t="shared" si="16"/>
        <v>4275</v>
      </c>
      <c r="O182" s="17">
        <f t="shared" si="20"/>
        <v>136960371807533.59</v>
      </c>
      <c r="Q182" s="5">
        <f t="shared" si="17"/>
        <v>-85.5</v>
      </c>
      <c r="R182" s="16">
        <f t="shared" si="18"/>
        <v>8.5500000000000007E-2</v>
      </c>
    </row>
    <row r="183" spans="11:18" x14ac:dyDescent="0.3">
      <c r="K183" s="5">
        <v>172</v>
      </c>
      <c r="L183" s="11">
        <f t="shared" si="15"/>
        <v>7.1431681916219136E+17</v>
      </c>
      <c r="M183" s="11">
        <f t="shared" si="19"/>
        <v>3.246894632555412E+18</v>
      </c>
      <c r="N183" s="13">
        <f t="shared" si="16"/>
        <v>4300</v>
      </c>
      <c r="O183" s="17">
        <f t="shared" si="20"/>
        <v>166120190502835.19</v>
      </c>
      <c r="Q183" s="5">
        <f t="shared" si="17"/>
        <v>-86</v>
      </c>
      <c r="R183" s="16">
        <f t="shared" si="18"/>
        <v>8.6000000000000007E-2</v>
      </c>
    </row>
    <row r="184" spans="11:18" x14ac:dyDescent="0.3">
      <c r="K184" s="5">
        <v>173</v>
      </c>
      <c r="L184" s="11">
        <f t="shared" si="15"/>
        <v>8.7146651937787341E+17</v>
      </c>
      <c r="M184" s="11">
        <f t="shared" si="19"/>
        <v>3.9612114517176033E+18</v>
      </c>
      <c r="N184" s="13">
        <f t="shared" si="16"/>
        <v>4325</v>
      </c>
      <c r="O184" s="17">
        <f t="shared" si="20"/>
        <v>201495148989103.69</v>
      </c>
      <c r="Q184" s="5">
        <f t="shared" si="17"/>
        <v>-86.5</v>
      </c>
      <c r="R184" s="16">
        <f t="shared" si="18"/>
        <v>8.6500000000000007E-2</v>
      </c>
    </row>
    <row r="185" spans="11:18" x14ac:dyDescent="0.3">
      <c r="K185" s="5">
        <v>174</v>
      </c>
      <c r="L185" s="11">
        <f t="shared" si="15"/>
        <v>1.0631891536410054E+18</v>
      </c>
      <c r="M185" s="11">
        <f t="shared" si="19"/>
        <v>4.8326779710954762E+18</v>
      </c>
      <c r="N185" s="13">
        <f t="shared" si="16"/>
        <v>4350</v>
      </c>
      <c r="O185" s="17">
        <f t="shared" si="20"/>
        <v>244411299687587.47</v>
      </c>
      <c r="Q185" s="5">
        <f t="shared" si="17"/>
        <v>-87</v>
      </c>
      <c r="R185" s="16">
        <f t="shared" si="18"/>
        <v>8.7000000000000008E-2</v>
      </c>
    </row>
    <row r="186" spans="11:18" x14ac:dyDescent="0.3">
      <c r="K186" s="5">
        <v>175</v>
      </c>
      <c r="L186" s="11">
        <f t="shared" si="15"/>
        <v>1.2970907674420268E+18</v>
      </c>
      <c r="M186" s="11">
        <f t="shared" si="19"/>
        <v>5.8958671247364813E+18</v>
      </c>
      <c r="N186" s="13">
        <f t="shared" si="16"/>
        <v>4375</v>
      </c>
      <c r="O186" s="17">
        <f t="shared" si="20"/>
        <v>296477889701034.69</v>
      </c>
      <c r="Q186" s="5">
        <f t="shared" si="17"/>
        <v>-87.5</v>
      </c>
      <c r="R186" s="16">
        <f t="shared" si="18"/>
        <v>8.7500000000000008E-2</v>
      </c>
    </row>
    <row r="187" spans="11:18" x14ac:dyDescent="0.3">
      <c r="K187" s="5">
        <v>176</v>
      </c>
      <c r="L187" s="11">
        <f t="shared" si="15"/>
        <v>1.5824507362792724E+18</v>
      </c>
      <c r="M187" s="11">
        <f t="shared" si="19"/>
        <v>7.1929578921785078E+18</v>
      </c>
      <c r="N187" s="13">
        <f t="shared" si="16"/>
        <v>4400</v>
      </c>
      <c r="O187" s="17">
        <f t="shared" si="20"/>
        <v>359647894608925.56</v>
      </c>
      <c r="Q187" s="5">
        <f t="shared" si="17"/>
        <v>-88</v>
      </c>
      <c r="R187" s="16">
        <f t="shared" si="18"/>
        <v>8.7999999999999995E-2</v>
      </c>
    </row>
    <row r="188" spans="11:18" x14ac:dyDescent="0.3">
      <c r="K188" s="5">
        <v>177</v>
      </c>
      <c r="L188" s="11">
        <f t="shared" si="15"/>
        <v>1.9305898982607122E+18</v>
      </c>
      <c r="M188" s="11">
        <f t="shared" si="19"/>
        <v>8.7754086284577802E+18</v>
      </c>
      <c r="N188" s="13">
        <f t="shared" si="16"/>
        <v>4425</v>
      </c>
      <c r="O188" s="17">
        <f t="shared" si="20"/>
        <v>436291502431799.38</v>
      </c>
      <c r="Q188" s="5">
        <f t="shared" si="17"/>
        <v>-88.5</v>
      </c>
      <c r="R188" s="16">
        <f t="shared" si="18"/>
        <v>8.8499999999999995E-2</v>
      </c>
    </row>
    <row r="189" spans="11:18" x14ac:dyDescent="0.3">
      <c r="K189" s="5">
        <v>178</v>
      </c>
      <c r="L189" s="11">
        <f t="shared" si="15"/>
        <v>2.3553196758780692E+18</v>
      </c>
      <c r="M189" s="11">
        <f t="shared" si="19"/>
        <v>1.0705998526718493E+19</v>
      </c>
      <c r="N189" s="13">
        <f t="shared" si="16"/>
        <v>4450</v>
      </c>
      <c r="O189" s="17">
        <f t="shared" si="20"/>
        <v>529285320422038.06</v>
      </c>
      <c r="Q189" s="5">
        <f t="shared" si="17"/>
        <v>-89</v>
      </c>
      <c r="R189" s="16">
        <f t="shared" si="18"/>
        <v>8.8999999999999996E-2</v>
      </c>
    </row>
    <row r="190" spans="11:18" x14ac:dyDescent="0.3">
      <c r="K190" s="5">
        <v>179</v>
      </c>
      <c r="L190" s="11">
        <f t="shared" si="15"/>
        <v>2.873490004571244E+18</v>
      </c>
      <c r="M190" s="11">
        <f t="shared" si="19"/>
        <v>1.3061318202596561E+19</v>
      </c>
      <c r="N190" s="13">
        <f t="shared" si="16"/>
        <v>4475</v>
      </c>
      <c r="O190" s="17">
        <f t="shared" si="20"/>
        <v>642120671412568.5</v>
      </c>
      <c r="Q190" s="5">
        <f t="shared" si="17"/>
        <v>-89.5</v>
      </c>
      <c r="R190" s="16">
        <f t="shared" si="18"/>
        <v>8.9499999999999996E-2</v>
      </c>
    </row>
    <row r="191" spans="11:18" x14ac:dyDescent="0.3">
      <c r="K191" s="5">
        <v>180</v>
      </c>
      <c r="L191" s="11">
        <f t="shared" si="15"/>
        <v>3.505657805576917E+18</v>
      </c>
      <c r="M191" s="11">
        <f t="shared" si="19"/>
        <v>1.5934808207167805E+19</v>
      </c>
      <c r="N191" s="13">
        <f t="shared" si="16"/>
        <v>4500</v>
      </c>
      <c r="O191" s="17">
        <f t="shared" si="20"/>
        <v>779035067905981.5</v>
      </c>
      <c r="Q191" s="5">
        <f t="shared" si="17"/>
        <v>-90</v>
      </c>
      <c r="R191" s="16">
        <f t="shared" si="18"/>
        <v>0.09</v>
      </c>
    </row>
    <row r="192" spans="11:18" x14ac:dyDescent="0.3">
      <c r="K192" s="5">
        <v>181</v>
      </c>
      <c r="L192" s="11">
        <f t="shared" si="15"/>
        <v>4.276902522803839E+18</v>
      </c>
      <c r="M192" s="11">
        <f t="shared" si="19"/>
        <v>1.944046601274472E+19</v>
      </c>
      <c r="N192" s="13">
        <f t="shared" si="16"/>
        <v>4525</v>
      </c>
      <c r="O192" s="17">
        <f t="shared" si="20"/>
        <v>945171828243942.38</v>
      </c>
      <c r="Q192" s="5">
        <f t="shared" si="17"/>
        <v>-90.5</v>
      </c>
      <c r="R192" s="16">
        <f t="shared" si="18"/>
        <v>9.0499999999999997E-2</v>
      </c>
    </row>
    <row r="193" spans="11:18" x14ac:dyDescent="0.3">
      <c r="K193" s="5">
        <v>182</v>
      </c>
      <c r="L193" s="11">
        <f t="shared" si="15"/>
        <v>5.2178210778206833E+18</v>
      </c>
      <c r="M193" s="11">
        <f t="shared" si="19"/>
        <v>2.3717368535548559E+19</v>
      </c>
      <c r="N193" s="13">
        <f t="shared" si="16"/>
        <v>4550</v>
      </c>
      <c r="O193" s="17">
        <f t="shared" si="20"/>
        <v>1146773863257293</v>
      </c>
      <c r="Q193" s="5">
        <f t="shared" si="17"/>
        <v>-91</v>
      </c>
      <c r="R193" s="16">
        <f t="shared" si="18"/>
        <v>9.0999999999999998E-2</v>
      </c>
    </row>
    <row r="194" spans="11:18" x14ac:dyDescent="0.3">
      <c r="K194" s="5">
        <v>183</v>
      </c>
      <c r="L194" s="11">
        <f t="shared" si="15"/>
        <v>6.3657417149412352E+18</v>
      </c>
      <c r="M194" s="11">
        <f t="shared" si="19"/>
        <v>2.8935189613369242E+19</v>
      </c>
      <c r="N194" s="13">
        <f t="shared" si="16"/>
        <v>4575</v>
      </c>
      <c r="O194" s="17">
        <f t="shared" si="20"/>
        <v>1391418954085516</v>
      </c>
      <c r="Q194" s="5">
        <f t="shared" si="17"/>
        <v>-91.5</v>
      </c>
      <c r="R194" s="16">
        <f t="shared" si="18"/>
        <v>9.1499999999999998E-2</v>
      </c>
    </row>
    <row r="195" spans="11:18" x14ac:dyDescent="0.3">
      <c r="K195" s="5">
        <v>184</v>
      </c>
      <c r="L195" s="11">
        <f t="shared" si="15"/>
        <v>7.7662048922283049E+18</v>
      </c>
      <c r="M195" s="11">
        <f t="shared" si="19"/>
        <v>3.5300931328310477E+19</v>
      </c>
      <c r="N195" s="13">
        <f t="shared" si="16"/>
        <v>4600</v>
      </c>
      <c r="O195" s="17">
        <f t="shared" si="20"/>
        <v>1688305411353979.3</v>
      </c>
      <c r="Q195" s="5">
        <f t="shared" si="17"/>
        <v>-92</v>
      </c>
      <c r="R195" s="16">
        <f t="shared" si="18"/>
        <v>9.1999999999999998E-2</v>
      </c>
    </row>
    <row r="196" spans="11:18" x14ac:dyDescent="0.3">
      <c r="K196" s="5">
        <v>185</v>
      </c>
      <c r="L196" s="11">
        <f t="shared" si="15"/>
        <v>9.474769968518529E+18</v>
      </c>
      <c r="M196" s="11">
        <f t="shared" si="19"/>
        <v>4.3067136220538782E+19</v>
      </c>
      <c r="N196" s="13">
        <f t="shared" si="16"/>
        <v>4625</v>
      </c>
      <c r="O196" s="17">
        <f t="shared" si="20"/>
        <v>2048598912112114.5</v>
      </c>
      <c r="Q196" s="5">
        <f t="shared" si="17"/>
        <v>-92.5</v>
      </c>
      <c r="R196" s="16">
        <f t="shared" si="18"/>
        <v>9.2499999999999999E-2</v>
      </c>
    </row>
    <row r="197" spans="11:18" x14ac:dyDescent="0.3">
      <c r="K197" s="5">
        <v>186</v>
      </c>
      <c r="L197" s="11">
        <f t="shared" si="15"/>
        <v>1.1559219361592611E+19</v>
      </c>
      <c r="M197" s="11">
        <f t="shared" si="19"/>
        <v>5.2541906189057311E+19</v>
      </c>
      <c r="N197" s="13">
        <f t="shared" si="16"/>
        <v>4650</v>
      </c>
      <c r="O197" s="17">
        <f t="shared" si="20"/>
        <v>2485853626148948.5</v>
      </c>
      <c r="Q197" s="5">
        <f t="shared" si="17"/>
        <v>-93</v>
      </c>
      <c r="R197" s="16">
        <f t="shared" si="18"/>
        <v>9.2999999999999999E-2</v>
      </c>
    </row>
    <row r="198" spans="11:18" x14ac:dyDescent="0.3">
      <c r="K198" s="5">
        <v>187</v>
      </c>
      <c r="L198" s="11">
        <f t="shared" si="15"/>
        <v>1.4102247621142981E+19</v>
      </c>
      <c r="M198" s="11">
        <f t="shared" si="19"/>
        <v>6.4101125550649917E+19</v>
      </c>
      <c r="N198" s="13">
        <f t="shared" si="16"/>
        <v>4675</v>
      </c>
      <c r="O198" s="17">
        <f t="shared" si="20"/>
        <v>3016523555324701.5</v>
      </c>
      <c r="Q198" s="5">
        <f t="shared" si="17"/>
        <v>-93.5</v>
      </c>
      <c r="R198" s="16">
        <f t="shared" si="18"/>
        <v>9.35E-2</v>
      </c>
    </row>
    <row r="199" spans="11:18" x14ac:dyDescent="0.3">
      <c r="K199" s="5">
        <v>188</v>
      </c>
      <c r="L199" s="11">
        <f t="shared" si="15"/>
        <v>1.7204742097794437E+19</v>
      </c>
      <c r="M199" s="11">
        <f t="shared" si="19"/>
        <v>7.8203373171792904E+19</v>
      </c>
      <c r="N199" s="13">
        <f t="shared" si="16"/>
        <v>4700</v>
      </c>
      <c r="O199" s="17">
        <f t="shared" si="20"/>
        <v>3660583425062646</v>
      </c>
      <c r="Q199" s="5">
        <f t="shared" si="17"/>
        <v>-94</v>
      </c>
      <c r="R199" s="16">
        <f t="shared" si="18"/>
        <v>9.4E-2</v>
      </c>
    </row>
    <row r="200" spans="11:18" x14ac:dyDescent="0.3">
      <c r="K200" s="5">
        <v>189</v>
      </c>
      <c r="L200" s="11">
        <f t="shared" si="15"/>
        <v>2.0989785359309214E+19</v>
      </c>
      <c r="M200" s="11">
        <f t="shared" si="19"/>
        <v>9.5408115269587337E+19</v>
      </c>
      <c r="N200" s="13">
        <f t="shared" si="16"/>
        <v>4725</v>
      </c>
      <c r="O200" s="17">
        <f t="shared" si="20"/>
        <v>4442282615726817.5</v>
      </c>
      <c r="Q200" s="5">
        <f t="shared" si="17"/>
        <v>-94.5</v>
      </c>
      <c r="R200" s="16">
        <f t="shared" si="18"/>
        <v>9.4500000000000001E-2</v>
      </c>
    </row>
    <row r="201" spans="11:18" x14ac:dyDescent="0.3">
      <c r="K201" s="5">
        <v>190</v>
      </c>
      <c r="L201" s="11">
        <f t="shared" si="15"/>
        <v>2.5607538138357236E+19</v>
      </c>
      <c r="M201" s="11">
        <f t="shared" si="19"/>
        <v>1.1639790062889655E+20</v>
      </c>
      <c r="N201" s="13">
        <f t="shared" si="16"/>
        <v>4750</v>
      </c>
      <c r="O201" s="17">
        <f t="shared" si="20"/>
        <v>5391060660706786</v>
      </c>
      <c r="Q201" s="5">
        <f t="shared" si="17"/>
        <v>-95</v>
      </c>
      <c r="R201" s="16">
        <f t="shared" si="18"/>
        <v>9.5000000000000001E-2</v>
      </c>
    </row>
    <row r="202" spans="11:18" x14ac:dyDescent="0.3">
      <c r="K202" s="5">
        <v>191</v>
      </c>
      <c r="L202" s="11">
        <f t="shared" si="15"/>
        <v>3.1241196528795828E+19</v>
      </c>
      <c r="M202" s="11">
        <f t="shared" si="19"/>
        <v>1.4200543876725378E+20</v>
      </c>
      <c r="N202" s="13">
        <f t="shared" si="16"/>
        <v>4775</v>
      </c>
      <c r="O202" s="17">
        <f t="shared" si="20"/>
        <v>6542658958910121</v>
      </c>
      <c r="Q202" s="5">
        <f t="shared" si="17"/>
        <v>-95.5</v>
      </c>
      <c r="R202" s="16">
        <f t="shared" si="18"/>
        <v>9.5500000000000002E-2</v>
      </c>
    </row>
    <row r="203" spans="11:18" x14ac:dyDescent="0.3">
      <c r="K203" s="5">
        <v>192</v>
      </c>
      <c r="L203" s="11">
        <f t="shared" si="15"/>
        <v>3.8114259765130904E+19</v>
      </c>
      <c r="M203" s="11">
        <f t="shared" si="19"/>
        <v>1.7324663529604959E+20</v>
      </c>
      <c r="N203" s="13">
        <f t="shared" si="16"/>
        <v>4800</v>
      </c>
      <c r="O203" s="17">
        <f t="shared" si="20"/>
        <v>7940470784402272</v>
      </c>
      <c r="Q203" s="5">
        <f t="shared" si="17"/>
        <v>-96</v>
      </c>
      <c r="R203" s="16">
        <f t="shared" si="18"/>
        <v>9.6000000000000002E-2</v>
      </c>
    </row>
    <row r="204" spans="11:18" x14ac:dyDescent="0.3">
      <c r="K204" s="5">
        <v>193</v>
      </c>
      <c r="L204" s="11">
        <f t="shared" ref="L204:L267" si="21">$I$6*($I$7^K204)</f>
        <v>4.64993969134597E+19</v>
      </c>
      <c r="M204" s="11">
        <f t="shared" si="19"/>
        <v>2.1136089506118048E+20</v>
      </c>
      <c r="N204" s="13">
        <f t="shared" ref="N204:N267" si="22">K204*$I$8</f>
        <v>4825</v>
      </c>
      <c r="O204" s="17">
        <f t="shared" si="20"/>
        <v>9637180707452788</v>
      </c>
      <c r="Q204" s="5">
        <f t="shared" ref="Q204:Q267" si="23">K204*$I$11</f>
        <v>-96.5</v>
      </c>
      <c r="R204" s="16">
        <f t="shared" ref="R204:R267" si="24">K204*$I$12</f>
        <v>9.6500000000000002E-2</v>
      </c>
    </row>
    <row r="205" spans="11:18" x14ac:dyDescent="0.3">
      <c r="K205" s="5">
        <v>194</v>
      </c>
      <c r="L205" s="11">
        <f t="shared" si="21"/>
        <v>5.6729264234420838E+19</v>
      </c>
      <c r="M205" s="11">
        <f t="shared" si="19"/>
        <v>2.5786029197464017E+20</v>
      </c>
      <c r="N205" s="13">
        <f t="shared" si="22"/>
        <v>4850</v>
      </c>
      <c r="O205" s="17">
        <f t="shared" si="20"/>
        <v>1.169675551225172E+16</v>
      </c>
      <c r="Q205" s="5">
        <f t="shared" si="23"/>
        <v>-97</v>
      </c>
      <c r="R205" s="16">
        <f t="shared" si="24"/>
        <v>9.7000000000000003E-2</v>
      </c>
    </row>
    <row r="206" spans="11:18" x14ac:dyDescent="0.3">
      <c r="K206" s="5">
        <v>195</v>
      </c>
      <c r="L206" s="11">
        <f t="shared" si="21"/>
        <v>6.9209702365993419E+19</v>
      </c>
      <c r="M206" s="11">
        <f t="shared" si="19"/>
        <v>3.14589556209061E+20</v>
      </c>
      <c r="N206" s="13">
        <f t="shared" si="22"/>
        <v>4875</v>
      </c>
      <c r="O206" s="17">
        <f t="shared" si="20"/>
        <v>1.4196862023793522E+16</v>
      </c>
      <c r="Q206" s="5">
        <f t="shared" si="23"/>
        <v>-97.5</v>
      </c>
      <c r="R206" s="16">
        <f t="shared" si="24"/>
        <v>9.7500000000000003E-2</v>
      </c>
    </row>
    <row r="207" spans="11:18" x14ac:dyDescent="0.3">
      <c r="K207" s="5">
        <v>196</v>
      </c>
      <c r="L207" s="11">
        <f t="shared" si="21"/>
        <v>8.443583688651196E+19</v>
      </c>
      <c r="M207" s="11">
        <f t="shared" ref="M207:M270" si="25">M206+L206</f>
        <v>3.8379925857505444E+20</v>
      </c>
      <c r="N207" s="13">
        <f t="shared" si="22"/>
        <v>4900</v>
      </c>
      <c r="O207" s="17">
        <f t="shared" si="20"/>
        <v>1.723180344622693E+16</v>
      </c>
      <c r="Q207" s="5">
        <f t="shared" si="23"/>
        <v>-98</v>
      </c>
      <c r="R207" s="16">
        <f t="shared" si="24"/>
        <v>9.8000000000000004E-2</v>
      </c>
    </row>
    <row r="208" spans="11:18" x14ac:dyDescent="0.3">
      <c r="K208" s="5">
        <v>197</v>
      </c>
      <c r="L208" s="11">
        <f t="shared" si="21"/>
        <v>1.0301172100154461E+20</v>
      </c>
      <c r="M208" s="11">
        <f t="shared" si="25"/>
        <v>4.6823509546156641E+20</v>
      </c>
      <c r="N208" s="13">
        <f t="shared" si="22"/>
        <v>4925</v>
      </c>
      <c r="O208" s="17">
        <f t="shared" ref="O208:O271" si="26">L208/N208</f>
        <v>2.0916085482547128E+16</v>
      </c>
      <c r="Q208" s="5">
        <f t="shared" si="23"/>
        <v>-98.5</v>
      </c>
      <c r="R208" s="16">
        <f t="shared" si="24"/>
        <v>9.8500000000000004E-2</v>
      </c>
    </row>
    <row r="209" spans="11:18" x14ac:dyDescent="0.3">
      <c r="K209" s="5">
        <v>198</v>
      </c>
      <c r="L209" s="11">
        <f t="shared" si="21"/>
        <v>1.256742996218844E+20</v>
      </c>
      <c r="M209" s="11">
        <f t="shared" si="25"/>
        <v>5.7124681646311106E+20</v>
      </c>
      <c r="N209" s="13">
        <f t="shared" si="22"/>
        <v>4950</v>
      </c>
      <c r="O209" s="17">
        <f t="shared" si="26"/>
        <v>2.5388747398360484E+16</v>
      </c>
      <c r="Q209" s="5">
        <f t="shared" si="23"/>
        <v>-99</v>
      </c>
      <c r="R209" s="16">
        <f t="shared" si="24"/>
        <v>9.9000000000000005E-2</v>
      </c>
    </row>
    <row r="210" spans="11:18" x14ac:dyDescent="0.3">
      <c r="K210" s="5">
        <v>199</v>
      </c>
      <c r="L210" s="11">
        <f t="shared" si="21"/>
        <v>1.5332264553869895E+20</v>
      </c>
      <c r="M210" s="11">
        <f t="shared" si="25"/>
        <v>6.9692111608499549E+20</v>
      </c>
      <c r="N210" s="13">
        <f t="shared" si="22"/>
        <v>4975</v>
      </c>
      <c r="O210" s="17">
        <f t="shared" si="26"/>
        <v>3.081862221883396E+16</v>
      </c>
      <c r="Q210" s="5">
        <f t="shared" si="23"/>
        <v>-99.5</v>
      </c>
      <c r="R210" s="16">
        <f t="shared" si="24"/>
        <v>9.9500000000000005E-2</v>
      </c>
    </row>
    <row r="211" spans="11:18" x14ac:dyDescent="0.3">
      <c r="K211" s="5">
        <v>200</v>
      </c>
      <c r="L211" s="11">
        <f t="shared" si="21"/>
        <v>1.8705362755721272E+20</v>
      </c>
      <c r="M211" s="11">
        <f t="shared" si="25"/>
        <v>8.5024376162369444E+20</v>
      </c>
      <c r="N211" s="13">
        <f t="shared" si="22"/>
        <v>5000</v>
      </c>
      <c r="O211" s="17">
        <f t="shared" si="26"/>
        <v>3.7410725511442544E+16</v>
      </c>
      <c r="Q211" s="5">
        <f t="shared" si="23"/>
        <v>-100</v>
      </c>
      <c r="R211" s="16">
        <f t="shared" si="24"/>
        <v>0.1</v>
      </c>
    </row>
    <row r="212" spans="11:18" x14ac:dyDescent="0.3">
      <c r="K212" s="5">
        <v>201</v>
      </c>
      <c r="L212" s="11">
        <f t="shared" si="21"/>
        <v>2.2820542561979951E+20</v>
      </c>
      <c r="M212" s="11">
        <f t="shared" si="25"/>
        <v>1.0372973891809072E+21</v>
      </c>
      <c r="N212" s="13">
        <f t="shared" si="22"/>
        <v>5025</v>
      </c>
      <c r="O212" s="17">
        <f t="shared" si="26"/>
        <v>4.541401504871632E+16</v>
      </c>
      <c r="Q212" s="5">
        <f t="shared" si="23"/>
        <v>-100.5</v>
      </c>
      <c r="R212" s="16">
        <f t="shared" si="24"/>
        <v>0.10050000000000001</v>
      </c>
    </row>
    <row r="213" spans="11:18" x14ac:dyDescent="0.3">
      <c r="K213" s="5">
        <v>202</v>
      </c>
      <c r="L213" s="11">
        <f t="shared" si="21"/>
        <v>2.7841061925615541E+20</v>
      </c>
      <c r="M213" s="11">
        <f t="shared" si="25"/>
        <v>1.2655028148007065E+21</v>
      </c>
      <c r="N213" s="13">
        <f t="shared" si="22"/>
        <v>5050</v>
      </c>
      <c r="O213" s="17">
        <f t="shared" si="26"/>
        <v>5.51308156942882E+16</v>
      </c>
      <c r="Q213" s="5">
        <f t="shared" si="23"/>
        <v>-101</v>
      </c>
      <c r="R213" s="16">
        <f t="shared" si="24"/>
        <v>0.10100000000000001</v>
      </c>
    </row>
    <row r="214" spans="11:18" x14ac:dyDescent="0.3">
      <c r="K214" s="5">
        <v>203</v>
      </c>
      <c r="L214" s="11">
        <f t="shared" si="21"/>
        <v>3.3966095549250948E+20</v>
      </c>
      <c r="M214" s="11">
        <f t="shared" si="25"/>
        <v>1.5439134340568619E+21</v>
      </c>
      <c r="N214" s="13">
        <f t="shared" si="22"/>
        <v>5075</v>
      </c>
      <c r="O214" s="17">
        <f t="shared" si="26"/>
        <v>6.6928267092120096E+16</v>
      </c>
      <c r="Q214" s="5">
        <f t="shared" si="23"/>
        <v>-101.5</v>
      </c>
      <c r="R214" s="16">
        <f t="shared" si="24"/>
        <v>0.10150000000000001</v>
      </c>
    </row>
    <row r="215" spans="11:18" x14ac:dyDescent="0.3">
      <c r="K215" s="5">
        <v>204</v>
      </c>
      <c r="L215" s="11">
        <f t="shared" si="21"/>
        <v>4.1438636570086166E+20</v>
      </c>
      <c r="M215" s="11">
        <f t="shared" si="25"/>
        <v>1.8835743895493715E+21</v>
      </c>
      <c r="N215" s="13">
        <f t="shared" si="22"/>
        <v>5100</v>
      </c>
      <c r="O215" s="17">
        <f t="shared" si="26"/>
        <v>8.12522285687964E+16</v>
      </c>
      <c r="Q215" s="5">
        <f t="shared" si="23"/>
        <v>-102</v>
      </c>
      <c r="R215" s="16">
        <f t="shared" si="24"/>
        <v>0.10200000000000001</v>
      </c>
    </row>
    <row r="216" spans="11:18" x14ac:dyDescent="0.3">
      <c r="K216" s="5">
        <v>205</v>
      </c>
      <c r="L216" s="11">
        <f t="shared" si="21"/>
        <v>5.0555136615505114E+20</v>
      </c>
      <c r="M216" s="11">
        <f t="shared" si="25"/>
        <v>2.2979607552502331E+21</v>
      </c>
      <c r="N216" s="13">
        <f t="shared" si="22"/>
        <v>5125</v>
      </c>
      <c r="O216" s="17">
        <f t="shared" si="26"/>
        <v>9.8644169005863632E+16</v>
      </c>
      <c r="Q216" s="5">
        <f t="shared" si="23"/>
        <v>-102.5</v>
      </c>
      <c r="R216" s="16">
        <f t="shared" si="24"/>
        <v>0.10250000000000001</v>
      </c>
    </row>
    <row r="217" spans="11:18" x14ac:dyDescent="0.3">
      <c r="K217" s="5">
        <v>206</v>
      </c>
      <c r="L217" s="11">
        <f t="shared" si="21"/>
        <v>6.1677266670916233E+20</v>
      </c>
      <c r="M217" s="11">
        <f t="shared" si="25"/>
        <v>2.803512121405284E+21</v>
      </c>
      <c r="N217" s="13">
        <f t="shared" si="22"/>
        <v>5150</v>
      </c>
      <c r="O217" s="17">
        <f t="shared" si="26"/>
        <v>1.1976168285614803E+17</v>
      </c>
      <c r="Q217" s="5">
        <f t="shared" si="23"/>
        <v>-103</v>
      </c>
      <c r="R217" s="16">
        <f t="shared" si="24"/>
        <v>0.10300000000000001</v>
      </c>
    </row>
    <row r="218" spans="11:18" x14ac:dyDescent="0.3">
      <c r="K218" s="5">
        <v>207</v>
      </c>
      <c r="L218" s="11">
        <f t="shared" si="21"/>
        <v>7.5246265338517809E+20</v>
      </c>
      <c r="M218" s="11">
        <f t="shared" si="25"/>
        <v>3.4202847881144461E+21</v>
      </c>
      <c r="N218" s="13">
        <f t="shared" si="22"/>
        <v>5175</v>
      </c>
      <c r="O218" s="17">
        <f t="shared" si="26"/>
        <v>1.4540341128216003E+17</v>
      </c>
      <c r="Q218" s="5">
        <f t="shared" si="23"/>
        <v>-103.5</v>
      </c>
      <c r="R218" s="16">
        <f t="shared" si="24"/>
        <v>0.10350000000000001</v>
      </c>
    </row>
    <row r="219" spans="11:18" x14ac:dyDescent="0.3">
      <c r="K219" s="5">
        <v>208</v>
      </c>
      <c r="L219" s="11">
        <f t="shared" si="21"/>
        <v>9.1800443712991724E+20</v>
      </c>
      <c r="M219" s="11">
        <f t="shared" si="25"/>
        <v>4.1727474414996244E+21</v>
      </c>
      <c r="N219" s="13">
        <f t="shared" si="22"/>
        <v>5200</v>
      </c>
      <c r="O219" s="17">
        <f t="shared" si="26"/>
        <v>1.7653931483267638E+17</v>
      </c>
      <c r="Q219" s="5">
        <f t="shared" si="23"/>
        <v>-104</v>
      </c>
      <c r="R219" s="16">
        <f t="shared" si="24"/>
        <v>0.10400000000000001</v>
      </c>
    </row>
    <row r="220" spans="11:18" x14ac:dyDescent="0.3">
      <c r="K220" s="5">
        <v>209</v>
      </c>
      <c r="L220" s="11">
        <f t="shared" si="21"/>
        <v>1.119965413298499E+21</v>
      </c>
      <c r="M220" s="11">
        <f t="shared" si="25"/>
        <v>5.0907518786295415E+21</v>
      </c>
      <c r="N220" s="13">
        <f t="shared" si="22"/>
        <v>5225</v>
      </c>
      <c r="O220" s="17">
        <f t="shared" si="26"/>
        <v>2.1434744752124381E+17</v>
      </c>
      <c r="Q220" s="5">
        <f t="shared" si="23"/>
        <v>-104.5</v>
      </c>
      <c r="R220" s="16">
        <f t="shared" si="24"/>
        <v>0.1045</v>
      </c>
    </row>
    <row r="221" spans="11:18" x14ac:dyDescent="0.3">
      <c r="K221" s="5">
        <v>210</v>
      </c>
      <c r="L221" s="11">
        <f t="shared" si="21"/>
        <v>1.3663578042241686E+21</v>
      </c>
      <c r="M221" s="11">
        <f t="shared" si="25"/>
        <v>6.2107172919280402E+21</v>
      </c>
      <c r="N221" s="13">
        <f t="shared" si="22"/>
        <v>5250</v>
      </c>
      <c r="O221" s="17">
        <f t="shared" si="26"/>
        <v>2.6025862937603213E+17</v>
      </c>
      <c r="Q221" s="5">
        <f t="shared" si="23"/>
        <v>-105</v>
      </c>
      <c r="R221" s="16">
        <f t="shared" si="24"/>
        <v>0.105</v>
      </c>
    </row>
    <row r="222" spans="11:18" x14ac:dyDescent="0.3">
      <c r="K222" s="5">
        <v>211</v>
      </c>
      <c r="L222" s="11">
        <f t="shared" si="21"/>
        <v>1.6669565211534856E+21</v>
      </c>
      <c r="M222" s="11">
        <f t="shared" si="25"/>
        <v>7.5770750961522091E+21</v>
      </c>
      <c r="N222" s="13">
        <f t="shared" si="22"/>
        <v>5275</v>
      </c>
      <c r="O222" s="17">
        <f t="shared" si="26"/>
        <v>3.1601071491061338E+17</v>
      </c>
      <c r="Q222" s="5">
        <f t="shared" si="23"/>
        <v>-105.5</v>
      </c>
      <c r="R222" s="16">
        <f t="shared" si="24"/>
        <v>0.1055</v>
      </c>
    </row>
    <row r="223" spans="11:18" x14ac:dyDescent="0.3">
      <c r="K223" s="5">
        <v>212</v>
      </c>
      <c r="L223" s="11">
        <f t="shared" si="21"/>
        <v>2.0336869558072522E+21</v>
      </c>
      <c r="M223" s="11">
        <f t="shared" si="25"/>
        <v>9.2440316173056947E+21</v>
      </c>
      <c r="N223" s="13">
        <f t="shared" si="22"/>
        <v>5300</v>
      </c>
      <c r="O223" s="17">
        <f t="shared" si="26"/>
        <v>3.8371451996363251E+17</v>
      </c>
      <c r="Q223" s="5">
        <f t="shared" si="23"/>
        <v>-106</v>
      </c>
      <c r="R223" s="16">
        <f t="shared" si="24"/>
        <v>0.106</v>
      </c>
    </row>
    <row r="224" spans="11:18" x14ac:dyDescent="0.3">
      <c r="K224" s="5">
        <v>213</v>
      </c>
      <c r="L224" s="11">
        <f t="shared" si="21"/>
        <v>2.4810980860848479E+21</v>
      </c>
      <c r="M224" s="11">
        <f t="shared" si="25"/>
        <v>1.1277718573112946E+22</v>
      </c>
      <c r="N224" s="13">
        <f t="shared" si="22"/>
        <v>5325</v>
      </c>
      <c r="O224" s="17">
        <f t="shared" si="26"/>
        <v>4.6593391287978362E+17</v>
      </c>
      <c r="Q224" s="5">
        <f t="shared" si="23"/>
        <v>-106.5</v>
      </c>
      <c r="R224" s="16">
        <f t="shared" si="24"/>
        <v>0.1065</v>
      </c>
    </row>
    <row r="225" spans="11:18" x14ac:dyDescent="0.3">
      <c r="K225" s="5">
        <v>214</v>
      </c>
      <c r="L225" s="11">
        <f t="shared" si="21"/>
        <v>3.0269396650235139E+21</v>
      </c>
      <c r="M225" s="11">
        <f t="shared" si="25"/>
        <v>1.3758816659197793E+22</v>
      </c>
      <c r="N225" s="13">
        <f t="shared" si="22"/>
        <v>5350</v>
      </c>
      <c r="O225" s="17">
        <f t="shared" si="26"/>
        <v>5.6578311495766618E+17</v>
      </c>
      <c r="Q225" s="5">
        <f t="shared" si="23"/>
        <v>-107</v>
      </c>
      <c r="R225" s="16">
        <f t="shared" si="24"/>
        <v>0.107</v>
      </c>
    </row>
    <row r="226" spans="11:18" x14ac:dyDescent="0.3">
      <c r="K226" s="5">
        <v>215</v>
      </c>
      <c r="L226" s="11">
        <f t="shared" si="21"/>
        <v>3.6928663913286877E+21</v>
      </c>
      <c r="M226" s="11">
        <f t="shared" si="25"/>
        <v>1.6785756324221308E+22</v>
      </c>
      <c r="N226" s="13">
        <f t="shared" si="22"/>
        <v>5375</v>
      </c>
      <c r="O226" s="17">
        <f t="shared" si="26"/>
        <v>6.8704491001463962E+17</v>
      </c>
      <c r="Q226" s="5">
        <f t="shared" si="23"/>
        <v>-107.5</v>
      </c>
      <c r="R226" s="16">
        <f t="shared" si="24"/>
        <v>0.1075</v>
      </c>
    </row>
    <row r="227" spans="11:18" x14ac:dyDescent="0.3">
      <c r="K227" s="5">
        <v>216</v>
      </c>
      <c r="L227" s="11">
        <f t="shared" si="21"/>
        <v>4.5052969974209981E+21</v>
      </c>
      <c r="M227" s="11">
        <f t="shared" si="25"/>
        <v>2.0478622715549994E+22</v>
      </c>
      <c r="N227" s="13">
        <f t="shared" si="22"/>
        <v>5400</v>
      </c>
      <c r="O227" s="17">
        <f t="shared" si="26"/>
        <v>8.343142587816663E+17</v>
      </c>
      <c r="Q227" s="5">
        <f t="shared" si="23"/>
        <v>-108</v>
      </c>
      <c r="R227" s="16">
        <f t="shared" si="24"/>
        <v>0.108</v>
      </c>
    </row>
    <row r="228" spans="11:18" x14ac:dyDescent="0.3">
      <c r="K228" s="5">
        <v>217</v>
      </c>
      <c r="L228" s="11">
        <f t="shared" si="21"/>
        <v>5.4964623368536174E+21</v>
      </c>
      <c r="M228" s="11">
        <f t="shared" si="25"/>
        <v>2.4983919712970991E+22</v>
      </c>
      <c r="N228" s="13">
        <f t="shared" si="22"/>
        <v>5425</v>
      </c>
      <c r="O228" s="17">
        <f t="shared" si="26"/>
        <v>1.0131727809868419E+18</v>
      </c>
      <c r="Q228" s="5">
        <f t="shared" si="23"/>
        <v>-108.5</v>
      </c>
      <c r="R228" s="16">
        <f t="shared" si="24"/>
        <v>0.1085</v>
      </c>
    </row>
    <row r="229" spans="11:18" x14ac:dyDescent="0.3">
      <c r="K229" s="5">
        <v>218</v>
      </c>
      <c r="L229" s="11">
        <f t="shared" si="21"/>
        <v>6.7056840509614132E+21</v>
      </c>
      <c r="M229" s="11">
        <f t="shared" si="25"/>
        <v>3.0480382049824608E+22</v>
      </c>
      <c r="N229" s="13">
        <f t="shared" si="22"/>
        <v>5450</v>
      </c>
      <c r="O229" s="17">
        <f t="shared" si="26"/>
        <v>1.2304007432956721E+18</v>
      </c>
      <c r="Q229" s="5">
        <f t="shared" si="23"/>
        <v>-109</v>
      </c>
      <c r="R229" s="16">
        <f t="shared" si="24"/>
        <v>0.109</v>
      </c>
    </row>
    <row r="230" spans="11:18" x14ac:dyDescent="0.3">
      <c r="K230" s="5">
        <v>219</v>
      </c>
      <c r="L230" s="11">
        <f t="shared" si="21"/>
        <v>8.1809345421729228E+21</v>
      </c>
      <c r="M230" s="11">
        <f t="shared" si="25"/>
        <v>3.7186066100786022E+22</v>
      </c>
      <c r="N230" s="13">
        <f t="shared" si="22"/>
        <v>5475</v>
      </c>
      <c r="O230" s="17">
        <f t="shared" si="26"/>
        <v>1.4942346195749632E+18</v>
      </c>
      <c r="Q230" s="5">
        <f t="shared" si="23"/>
        <v>-109.5</v>
      </c>
      <c r="R230" s="16">
        <f t="shared" si="24"/>
        <v>0.1095</v>
      </c>
    </row>
    <row r="231" spans="11:18" x14ac:dyDescent="0.3">
      <c r="K231" s="5">
        <v>220</v>
      </c>
      <c r="L231" s="11">
        <f t="shared" si="21"/>
        <v>9.9807401414509671E+21</v>
      </c>
      <c r="M231" s="11">
        <f t="shared" si="25"/>
        <v>4.5367000642958945E+22</v>
      </c>
      <c r="N231" s="13">
        <f t="shared" si="22"/>
        <v>5500</v>
      </c>
      <c r="O231" s="17">
        <f t="shared" si="26"/>
        <v>1.8146800257183578E+18</v>
      </c>
      <c r="Q231" s="5">
        <f t="shared" si="23"/>
        <v>-110</v>
      </c>
      <c r="R231" s="16">
        <f t="shared" si="24"/>
        <v>0.11</v>
      </c>
    </row>
    <row r="232" spans="11:18" x14ac:dyDescent="0.3">
      <c r="K232" s="5">
        <v>221</v>
      </c>
      <c r="L232" s="11">
        <f t="shared" si="21"/>
        <v>1.2176502972570178E+22</v>
      </c>
      <c r="M232" s="11">
        <f t="shared" si="25"/>
        <v>5.5347740784409914E+22</v>
      </c>
      <c r="N232" s="13">
        <f t="shared" si="22"/>
        <v>5525</v>
      </c>
      <c r="O232" s="17">
        <f t="shared" si="26"/>
        <v>2.2038919407366838E+18</v>
      </c>
      <c r="Q232" s="5">
        <f t="shared" si="23"/>
        <v>-110.5</v>
      </c>
      <c r="R232" s="16">
        <f t="shared" si="24"/>
        <v>0.1105</v>
      </c>
    </row>
    <row r="233" spans="11:18" x14ac:dyDescent="0.3">
      <c r="K233" s="5">
        <v>222</v>
      </c>
      <c r="L233" s="11">
        <f t="shared" si="21"/>
        <v>1.4855333626535616E+22</v>
      </c>
      <c r="M233" s="11">
        <f t="shared" si="25"/>
        <v>6.7524243756980093E+22</v>
      </c>
      <c r="N233" s="13">
        <f t="shared" si="22"/>
        <v>5550</v>
      </c>
      <c r="O233" s="17">
        <f t="shared" si="26"/>
        <v>2.6766366894658765E+18</v>
      </c>
      <c r="Q233" s="5">
        <f t="shared" si="23"/>
        <v>-111</v>
      </c>
      <c r="R233" s="16">
        <f t="shared" si="24"/>
        <v>0.111</v>
      </c>
    </row>
    <row r="234" spans="11:18" x14ac:dyDescent="0.3">
      <c r="K234" s="5">
        <v>223</v>
      </c>
      <c r="L234" s="11">
        <f t="shared" si="21"/>
        <v>1.8123507024373452E+22</v>
      </c>
      <c r="M234" s="11">
        <f t="shared" si="25"/>
        <v>8.2379577383515704E+22</v>
      </c>
      <c r="N234" s="13">
        <f t="shared" si="22"/>
        <v>5575</v>
      </c>
      <c r="O234" s="17">
        <f t="shared" si="26"/>
        <v>3.2508532779145206E+18</v>
      </c>
      <c r="Q234" s="5">
        <f t="shared" si="23"/>
        <v>-111.5</v>
      </c>
      <c r="R234" s="16">
        <f t="shared" si="24"/>
        <v>0.1115</v>
      </c>
    </row>
    <row r="235" spans="11:18" x14ac:dyDescent="0.3">
      <c r="K235" s="5">
        <v>224</v>
      </c>
      <c r="L235" s="11">
        <f t="shared" si="21"/>
        <v>2.2110678569735609E+22</v>
      </c>
      <c r="M235" s="11">
        <f t="shared" si="25"/>
        <v>1.0050308440788915E+23</v>
      </c>
      <c r="N235" s="13">
        <f t="shared" si="22"/>
        <v>5600</v>
      </c>
      <c r="O235" s="17">
        <f t="shared" si="26"/>
        <v>3.9483354588813588E+18</v>
      </c>
      <c r="Q235" s="5">
        <f t="shared" si="23"/>
        <v>-112</v>
      </c>
      <c r="R235" s="16">
        <f t="shared" si="24"/>
        <v>0.112</v>
      </c>
    </row>
    <row r="236" spans="11:18" x14ac:dyDescent="0.3">
      <c r="K236" s="5">
        <v>225</v>
      </c>
      <c r="L236" s="11">
        <f t="shared" si="21"/>
        <v>2.6975027855077447E+22</v>
      </c>
      <c r="M236" s="11">
        <f t="shared" si="25"/>
        <v>1.2261376297762476E+23</v>
      </c>
      <c r="N236" s="13">
        <f t="shared" si="22"/>
        <v>5625</v>
      </c>
      <c r="O236" s="17">
        <f t="shared" si="26"/>
        <v>4.795560507569324E+18</v>
      </c>
      <c r="Q236" s="5">
        <f t="shared" si="23"/>
        <v>-112.5</v>
      </c>
      <c r="R236" s="16">
        <f t="shared" si="24"/>
        <v>0.1125</v>
      </c>
    </row>
    <row r="237" spans="11:18" x14ac:dyDescent="0.3">
      <c r="K237" s="5">
        <v>226</v>
      </c>
      <c r="L237" s="11">
        <f t="shared" si="21"/>
        <v>3.2909533983194479E+22</v>
      </c>
      <c r="M237" s="11">
        <f t="shared" si="25"/>
        <v>1.495887908327022E+23</v>
      </c>
      <c r="N237" s="13">
        <f t="shared" si="22"/>
        <v>5650</v>
      </c>
      <c r="O237" s="17">
        <f t="shared" si="26"/>
        <v>5.824696280211412E+18</v>
      </c>
      <c r="Q237" s="5">
        <f t="shared" si="23"/>
        <v>-113</v>
      </c>
      <c r="R237" s="16">
        <f t="shared" si="24"/>
        <v>0.113</v>
      </c>
    </row>
    <row r="238" spans="11:18" x14ac:dyDescent="0.3">
      <c r="K238" s="5">
        <v>227</v>
      </c>
      <c r="L238" s="11">
        <f t="shared" si="21"/>
        <v>4.0149631459497261E+22</v>
      </c>
      <c r="M238" s="11">
        <f t="shared" si="25"/>
        <v>1.8249832481589666E+23</v>
      </c>
      <c r="N238" s="13">
        <f t="shared" si="22"/>
        <v>5675</v>
      </c>
      <c r="O238" s="17">
        <f t="shared" si="26"/>
        <v>7.074824926783658E+18</v>
      </c>
      <c r="Q238" s="5">
        <f t="shared" si="23"/>
        <v>-113.5</v>
      </c>
      <c r="R238" s="16">
        <f t="shared" si="24"/>
        <v>0.1135</v>
      </c>
    </row>
    <row r="239" spans="11:18" x14ac:dyDescent="0.3">
      <c r="K239" s="5">
        <v>228</v>
      </c>
      <c r="L239" s="11">
        <f t="shared" si="21"/>
        <v>4.8982550380586664E+22</v>
      </c>
      <c r="M239" s="11">
        <f t="shared" si="25"/>
        <v>2.2264795627539391E+23</v>
      </c>
      <c r="N239" s="13">
        <f t="shared" si="22"/>
        <v>5700</v>
      </c>
      <c r="O239" s="17">
        <f t="shared" si="26"/>
        <v>8.5934298913309942E+18</v>
      </c>
      <c r="Q239" s="5">
        <f t="shared" si="23"/>
        <v>-114</v>
      </c>
      <c r="R239" s="16">
        <f t="shared" si="24"/>
        <v>0.114</v>
      </c>
    </row>
    <row r="240" spans="11:18" x14ac:dyDescent="0.3">
      <c r="K240" s="5">
        <v>229</v>
      </c>
      <c r="L240" s="11">
        <f t="shared" si="21"/>
        <v>5.9758711464315723E+22</v>
      </c>
      <c r="M240" s="11">
        <f t="shared" si="25"/>
        <v>2.7163050665598056E+23</v>
      </c>
      <c r="N240" s="13">
        <f t="shared" si="22"/>
        <v>5725</v>
      </c>
      <c r="O240" s="17">
        <f t="shared" si="26"/>
        <v>1.0438202875863009E+19</v>
      </c>
      <c r="Q240" s="5">
        <f t="shared" si="23"/>
        <v>-114.5</v>
      </c>
      <c r="R240" s="16">
        <f t="shared" si="24"/>
        <v>0.1145</v>
      </c>
    </row>
    <row r="241" spans="11:18" x14ac:dyDescent="0.3">
      <c r="K241" s="5">
        <v>230</v>
      </c>
      <c r="L241" s="11">
        <f t="shared" si="21"/>
        <v>7.2905627986465166E+22</v>
      </c>
      <c r="M241" s="11">
        <f t="shared" si="25"/>
        <v>3.3138921812029632E+23</v>
      </c>
      <c r="N241" s="13">
        <f t="shared" si="22"/>
        <v>5750</v>
      </c>
      <c r="O241" s="17">
        <f t="shared" si="26"/>
        <v>1.2679239649820029E+19</v>
      </c>
      <c r="Q241" s="5">
        <f t="shared" si="23"/>
        <v>-115</v>
      </c>
      <c r="R241" s="16">
        <f t="shared" si="24"/>
        <v>0.115</v>
      </c>
    </row>
    <row r="242" spans="11:18" x14ac:dyDescent="0.3">
      <c r="K242" s="5">
        <v>231</v>
      </c>
      <c r="L242" s="11">
        <f t="shared" si="21"/>
        <v>8.8944866143487522E+22</v>
      </c>
      <c r="M242" s="11">
        <f t="shared" si="25"/>
        <v>4.0429484610676146E+23</v>
      </c>
      <c r="N242" s="13">
        <f t="shared" si="22"/>
        <v>5775</v>
      </c>
      <c r="O242" s="17">
        <f t="shared" si="26"/>
        <v>1.5401708423114723E+19</v>
      </c>
      <c r="Q242" s="5">
        <f t="shared" si="23"/>
        <v>-115.5</v>
      </c>
      <c r="R242" s="16">
        <f t="shared" si="24"/>
        <v>0.11550000000000001</v>
      </c>
    </row>
    <row r="243" spans="11:18" x14ac:dyDescent="0.3">
      <c r="K243" s="5">
        <v>232</v>
      </c>
      <c r="L243" s="11">
        <f t="shared" si="21"/>
        <v>1.0851273669505474E+23</v>
      </c>
      <c r="M243" s="11">
        <f t="shared" si="25"/>
        <v>4.9323971225024894E+23</v>
      </c>
      <c r="N243" s="13">
        <f t="shared" si="22"/>
        <v>5800</v>
      </c>
      <c r="O243" s="17">
        <f t="shared" si="26"/>
        <v>1.8709092533630128E+19</v>
      </c>
      <c r="Q243" s="5">
        <f t="shared" si="23"/>
        <v>-116</v>
      </c>
      <c r="R243" s="16">
        <f t="shared" si="24"/>
        <v>0.11600000000000001</v>
      </c>
    </row>
    <row r="244" spans="11:18" x14ac:dyDescent="0.3">
      <c r="K244" s="5">
        <v>233</v>
      </c>
      <c r="L244" s="11">
        <f t="shared" si="21"/>
        <v>1.3238553876796679E+23</v>
      </c>
      <c r="M244" s="11">
        <f t="shared" si="25"/>
        <v>6.0175244894530367E+23</v>
      </c>
      <c r="N244" s="13">
        <f t="shared" si="22"/>
        <v>5825</v>
      </c>
      <c r="O244" s="17">
        <f t="shared" si="26"/>
        <v>2.2727131118964257E+19</v>
      </c>
      <c r="Q244" s="5">
        <f t="shared" si="23"/>
        <v>-116.5</v>
      </c>
      <c r="R244" s="16">
        <f t="shared" si="24"/>
        <v>0.11650000000000001</v>
      </c>
    </row>
    <row r="245" spans="11:18" x14ac:dyDescent="0.3">
      <c r="K245" s="5">
        <v>234</v>
      </c>
      <c r="L245" s="11">
        <f t="shared" si="21"/>
        <v>1.6151035729691943E+23</v>
      </c>
      <c r="M245" s="11">
        <f t="shared" si="25"/>
        <v>7.3413798771327051E+23</v>
      </c>
      <c r="N245" s="13">
        <f t="shared" si="22"/>
        <v>5850</v>
      </c>
      <c r="O245" s="17">
        <f t="shared" si="26"/>
        <v>2.7608608084943491E+19</v>
      </c>
      <c r="Q245" s="5">
        <f t="shared" si="23"/>
        <v>-117</v>
      </c>
      <c r="R245" s="16">
        <f t="shared" si="24"/>
        <v>0.11700000000000001</v>
      </c>
    </row>
    <row r="246" spans="11:18" x14ac:dyDescent="0.3">
      <c r="K246" s="5">
        <v>235</v>
      </c>
      <c r="L246" s="11">
        <f t="shared" si="21"/>
        <v>1.9704263590224177E+23</v>
      </c>
      <c r="M246" s="11">
        <f t="shared" si="25"/>
        <v>8.9564834501018998E+23</v>
      </c>
      <c r="N246" s="13">
        <f t="shared" si="22"/>
        <v>5875</v>
      </c>
      <c r="O246" s="17">
        <f t="shared" si="26"/>
        <v>3.3539172068466684E+19</v>
      </c>
      <c r="Q246" s="5">
        <f t="shared" si="23"/>
        <v>-117.5</v>
      </c>
      <c r="R246" s="16">
        <f t="shared" si="24"/>
        <v>0.11750000000000001</v>
      </c>
    </row>
    <row r="247" spans="11:18" x14ac:dyDescent="0.3">
      <c r="K247" s="5">
        <v>236</v>
      </c>
      <c r="L247" s="11">
        <f t="shared" si="21"/>
        <v>2.4039201580073493E+23</v>
      </c>
      <c r="M247" s="11">
        <f t="shared" si="25"/>
        <v>1.0926909809124317E+24</v>
      </c>
      <c r="N247" s="13">
        <f t="shared" si="22"/>
        <v>5900</v>
      </c>
      <c r="O247" s="17">
        <f t="shared" si="26"/>
        <v>4.0744409457751687E+19</v>
      </c>
      <c r="Q247" s="5">
        <f t="shared" si="23"/>
        <v>-118</v>
      </c>
      <c r="R247" s="16">
        <f t="shared" si="24"/>
        <v>0.11800000000000001</v>
      </c>
    </row>
    <row r="248" spans="11:18" x14ac:dyDescent="0.3">
      <c r="K248" s="5">
        <v>237</v>
      </c>
      <c r="L248" s="11">
        <f t="shared" si="21"/>
        <v>2.9327825927689663E+23</v>
      </c>
      <c r="M248" s="11">
        <f t="shared" si="25"/>
        <v>1.3330829967131668E+24</v>
      </c>
      <c r="N248" s="13">
        <f t="shared" si="22"/>
        <v>5925</v>
      </c>
      <c r="O248" s="17">
        <f t="shared" si="26"/>
        <v>4.9498440384286351E+19</v>
      </c>
      <c r="Q248" s="5">
        <f t="shared" si="23"/>
        <v>-118.5</v>
      </c>
      <c r="R248" s="16">
        <f t="shared" si="24"/>
        <v>0.11850000000000001</v>
      </c>
    </row>
    <row r="249" spans="11:18" x14ac:dyDescent="0.3">
      <c r="K249" s="5">
        <v>238</v>
      </c>
      <c r="L249" s="11">
        <f t="shared" si="21"/>
        <v>3.5779947631781383E+23</v>
      </c>
      <c r="M249" s="11">
        <f t="shared" si="25"/>
        <v>1.6263612559900635E+24</v>
      </c>
      <c r="N249" s="13">
        <f t="shared" si="22"/>
        <v>5950</v>
      </c>
      <c r="O249" s="17">
        <f t="shared" si="26"/>
        <v>6.01343657676998E+19</v>
      </c>
      <c r="Q249" s="5">
        <f t="shared" si="23"/>
        <v>-119</v>
      </c>
      <c r="R249" s="16">
        <f t="shared" si="24"/>
        <v>0.11900000000000001</v>
      </c>
    </row>
    <row r="250" spans="11:18" x14ac:dyDescent="0.3">
      <c r="K250" s="5">
        <v>239</v>
      </c>
      <c r="L250" s="11">
        <f t="shared" si="21"/>
        <v>4.365153611077329E+23</v>
      </c>
      <c r="M250" s="11">
        <f t="shared" si="25"/>
        <v>1.9841607323078772E+24</v>
      </c>
      <c r="N250" s="13">
        <f t="shared" si="22"/>
        <v>5975</v>
      </c>
      <c r="O250" s="17">
        <f t="shared" si="26"/>
        <v>7.305696420213103E+19</v>
      </c>
      <c r="Q250" s="5">
        <f t="shared" si="23"/>
        <v>-119.5</v>
      </c>
      <c r="R250" s="16">
        <f t="shared" si="24"/>
        <v>0.11950000000000001</v>
      </c>
    </row>
    <row r="251" spans="11:18" x14ac:dyDescent="0.3">
      <c r="K251" s="5">
        <v>240</v>
      </c>
      <c r="L251" s="11">
        <f t="shared" si="21"/>
        <v>5.3254874055143407E+23</v>
      </c>
      <c r="M251" s="11">
        <f t="shared" si="25"/>
        <v>2.42067609341561E+24</v>
      </c>
      <c r="N251" s="13">
        <f t="shared" si="22"/>
        <v>6000</v>
      </c>
      <c r="O251" s="17">
        <f t="shared" si="26"/>
        <v>8.8758123425239007E+19</v>
      </c>
      <c r="Q251" s="5">
        <f t="shared" si="23"/>
        <v>-120</v>
      </c>
      <c r="R251" s="16">
        <f t="shared" si="24"/>
        <v>0.12</v>
      </c>
    </row>
    <row r="252" spans="11:18" x14ac:dyDescent="0.3">
      <c r="K252" s="5">
        <v>241</v>
      </c>
      <c r="L252" s="11">
        <f t="shared" si="21"/>
        <v>6.4970946347274949E+23</v>
      </c>
      <c r="M252" s="11">
        <f t="shared" si="25"/>
        <v>2.953224833967044E+24</v>
      </c>
      <c r="N252" s="13">
        <f t="shared" si="22"/>
        <v>6025</v>
      </c>
      <c r="O252" s="17">
        <f t="shared" si="26"/>
        <v>1.0783559559713684E+20</v>
      </c>
      <c r="Q252" s="5">
        <f t="shared" si="23"/>
        <v>-120.5</v>
      </c>
      <c r="R252" s="16">
        <f t="shared" si="24"/>
        <v>0.1205</v>
      </c>
    </row>
    <row r="253" spans="11:18" x14ac:dyDescent="0.3">
      <c r="K253" s="5">
        <v>242</v>
      </c>
      <c r="L253" s="11">
        <f t="shared" si="21"/>
        <v>7.9264554543675454E+23</v>
      </c>
      <c r="M253" s="11">
        <f t="shared" si="25"/>
        <v>3.6029342974397938E+24</v>
      </c>
      <c r="N253" s="13">
        <f t="shared" si="22"/>
        <v>6050</v>
      </c>
      <c r="O253" s="17">
        <f t="shared" si="26"/>
        <v>1.3101579263417431E+20</v>
      </c>
      <c r="Q253" s="5">
        <f t="shared" si="23"/>
        <v>-121</v>
      </c>
      <c r="R253" s="16">
        <f t="shared" si="24"/>
        <v>0.121</v>
      </c>
    </row>
    <row r="254" spans="11:18" x14ac:dyDescent="0.3">
      <c r="K254" s="5">
        <v>243</v>
      </c>
      <c r="L254" s="11">
        <f t="shared" si="21"/>
        <v>9.6702756543284023E+23</v>
      </c>
      <c r="M254" s="11">
        <f t="shared" si="25"/>
        <v>4.3955798428765483E+24</v>
      </c>
      <c r="N254" s="13">
        <f t="shared" si="22"/>
        <v>6075</v>
      </c>
      <c r="O254" s="17">
        <f t="shared" si="26"/>
        <v>1.5918149225231938E+20</v>
      </c>
      <c r="Q254" s="5">
        <f t="shared" si="23"/>
        <v>-121.5</v>
      </c>
      <c r="R254" s="16">
        <f t="shared" si="24"/>
        <v>0.1215</v>
      </c>
    </row>
    <row r="255" spans="11:18" x14ac:dyDescent="0.3">
      <c r="K255" s="5">
        <v>244</v>
      </c>
      <c r="L255" s="11">
        <f t="shared" si="21"/>
        <v>1.179773629828065E+24</v>
      </c>
      <c r="M255" s="11">
        <f t="shared" si="25"/>
        <v>5.3626074083093881E+24</v>
      </c>
      <c r="N255" s="13">
        <f t="shared" si="22"/>
        <v>6100</v>
      </c>
      <c r="O255" s="17">
        <f t="shared" si="26"/>
        <v>1.9340551308656804E+20</v>
      </c>
      <c r="Q255" s="5">
        <f t="shared" si="23"/>
        <v>-122</v>
      </c>
      <c r="R255" s="16">
        <f t="shared" si="24"/>
        <v>0.122</v>
      </c>
    </row>
    <row r="256" spans="11:18" x14ac:dyDescent="0.3">
      <c r="K256" s="5">
        <v>245</v>
      </c>
      <c r="L256" s="11">
        <f t="shared" si="21"/>
        <v>1.4393238283902395E+24</v>
      </c>
      <c r="M256" s="11">
        <f t="shared" si="25"/>
        <v>6.5423810381374531E+24</v>
      </c>
      <c r="N256" s="13">
        <f t="shared" si="22"/>
        <v>6125</v>
      </c>
      <c r="O256" s="17">
        <f t="shared" si="26"/>
        <v>2.3499164545146769E+20</v>
      </c>
      <c r="Q256" s="5">
        <f t="shared" si="23"/>
        <v>-122.5</v>
      </c>
      <c r="R256" s="16">
        <f t="shared" si="24"/>
        <v>0.1225</v>
      </c>
    </row>
    <row r="257" spans="11:18" x14ac:dyDescent="0.3">
      <c r="K257" s="5">
        <v>246</v>
      </c>
      <c r="L257" s="11">
        <f t="shared" si="21"/>
        <v>1.7559750706360918E+24</v>
      </c>
      <c r="M257" s="11">
        <f t="shared" si="25"/>
        <v>7.9817048665276926E+24</v>
      </c>
      <c r="N257" s="13">
        <f t="shared" si="22"/>
        <v>6150</v>
      </c>
      <c r="O257" s="17">
        <f t="shared" si="26"/>
        <v>2.8552440172944582E+20</v>
      </c>
      <c r="Q257" s="5">
        <f t="shared" si="23"/>
        <v>-123</v>
      </c>
      <c r="R257" s="16">
        <f t="shared" si="24"/>
        <v>0.123</v>
      </c>
    </row>
    <row r="258" spans="11:18" x14ac:dyDescent="0.3">
      <c r="K258" s="5">
        <v>247</v>
      </c>
      <c r="L258" s="11">
        <f t="shared" si="21"/>
        <v>2.1422895861760324E+24</v>
      </c>
      <c r="M258" s="11">
        <f t="shared" si="25"/>
        <v>9.7376799371637836E+24</v>
      </c>
      <c r="N258" s="13">
        <f t="shared" si="22"/>
        <v>6175</v>
      </c>
      <c r="O258" s="17">
        <f t="shared" si="26"/>
        <v>3.4692948763984331E+20</v>
      </c>
      <c r="Q258" s="5">
        <f t="shared" si="23"/>
        <v>-123.5</v>
      </c>
      <c r="R258" s="16">
        <f t="shared" si="24"/>
        <v>0.1235</v>
      </c>
    </row>
    <row r="259" spans="11:18" x14ac:dyDescent="0.3">
      <c r="K259" s="5">
        <v>248</v>
      </c>
      <c r="L259" s="11">
        <f t="shared" si="21"/>
        <v>2.6135932951347591E+24</v>
      </c>
      <c r="M259" s="11">
        <f t="shared" si="25"/>
        <v>1.1879969523339815E+25</v>
      </c>
      <c r="N259" s="13">
        <f t="shared" si="22"/>
        <v>6200</v>
      </c>
      <c r="O259" s="17">
        <f t="shared" si="26"/>
        <v>4.2154730566689659E+20</v>
      </c>
      <c r="Q259" s="5">
        <f t="shared" si="23"/>
        <v>-124</v>
      </c>
      <c r="R259" s="16">
        <f t="shared" si="24"/>
        <v>0.124</v>
      </c>
    </row>
    <row r="260" spans="11:18" x14ac:dyDescent="0.3">
      <c r="K260" s="5">
        <v>249</v>
      </c>
      <c r="L260" s="11">
        <f t="shared" si="21"/>
        <v>3.1885838200644057E+24</v>
      </c>
      <c r="M260" s="11">
        <f t="shared" si="25"/>
        <v>1.4493562818474574E+25</v>
      </c>
      <c r="N260" s="13">
        <f t="shared" si="22"/>
        <v>6225</v>
      </c>
      <c r="O260" s="17">
        <f t="shared" si="26"/>
        <v>5.1222230041195269E+20</v>
      </c>
      <c r="Q260" s="5">
        <f t="shared" si="23"/>
        <v>-124.5</v>
      </c>
      <c r="R260" s="16">
        <f t="shared" si="24"/>
        <v>0.1245</v>
      </c>
    </row>
    <row r="261" spans="11:18" x14ac:dyDescent="0.3">
      <c r="K261" s="5">
        <v>250</v>
      </c>
      <c r="L261" s="11">
        <f t="shared" si="21"/>
        <v>3.8900722604785752E+24</v>
      </c>
      <c r="M261" s="11">
        <f t="shared" si="25"/>
        <v>1.768214663853898E+25</v>
      </c>
      <c r="N261" s="13">
        <f t="shared" si="22"/>
        <v>6250</v>
      </c>
      <c r="O261" s="17">
        <f t="shared" si="26"/>
        <v>6.2241156167657207E+20</v>
      </c>
      <c r="Q261" s="5">
        <f t="shared" si="23"/>
        <v>-125</v>
      </c>
      <c r="R261" s="16">
        <f t="shared" si="24"/>
        <v>0.125</v>
      </c>
    </row>
    <row r="262" spans="11:18" x14ac:dyDescent="0.3">
      <c r="K262" s="5">
        <v>251</v>
      </c>
      <c r="L262" s="11">
        <f t="shared" si="21"/>
        <v>4.7458881577838613E+24</v>
      </c>
      <c r="M262" s="11">
        <f t="shared" si="25"/>
        <v>2.1572218899017554E+25</v>
      </c>
      <c r="N262" s="13">
        <f t="shared" si="22"/>
        <v>6275</v>
      </c>
      <c r="O262" s="17">
        <f t="shared" si="26"/>
        <v>7.563168378938424E+20</v>
      </c>
      <c r="Q262" s="5">
        <f t="shared" si="23"/>
        <v>-125.5</v>
      </c>
      <c r="R262" s="16">
        <f t="shared" si="24"/>
        <v>0.1255</v>
      </c>
    </row>
    <row r="263" spans="11:18" x14ac:dyDescent="0.3">
      <c r="K263" s="5">
        <v>252</v>
      </c>
      <c r="L263" s="11">
        <f t="shared" si="21"/>
        <v>5.789983552496311E+24</v>
      </c>
      <c r="M263" s="11">
        <f t="shared" si="25"/>
        <v>2.6318107056801416E+25</v>
      </c>
      <c r="N263" s="13">
        <f t="shared" si="22"/>
        <v>6300</v>
      </c>
      <c r="O263" s="17">
        <f t="shared" si="26"/>
        <v>9.1904500833274783E+20</v>
      </c>
      <c r="Q263" s="5">
        <f t="shared" si="23"/>
        <v>-126</v>
      </c>
      <c r="R263" s="16">
        <f t="shared" si="24"/>
        <v>0.126</v>
      </c>
    </row>
    <row r="264" spans="11:18" x14ac:dyDescent="0.3">
      <c r="K264" s="5">
        <v>253</v>
      </c>
      <c r="L264" s="11">
        <f t="shared" si="21"/>
        <v>7.0637799340454988E+24</v>
      </c>
      <c r="M264" s="11">
        <f t="shared" si="25"/>
        <v>3.2108090609297728E+25</v>
      </c>
      <c r="N264" s="13">
        <f t="shared" si="22"/>
        <v>6325</v>
      </c>
      <c r="O264" s="17">
        <f t="shared" si="26"/>
        <v>1.1168031516277468E+21</v>
      </c>
      <c r="Q264" s="5">
        <f t="shared" si="23"/>
        <v>-126.5</v>
      </c>
      <c r="R264" s="16">
        <f t="shared" si="24"/>
        <v>0.1265</v>
      </c>
    </row>
    <row r="265" spans="11:18" x14ac:dyDescent="0.3">
      <c r="K265" s="5">
        <v>254</v>
      </c>
      <c r="L265" s="11">
        <f t="shared" si="21"/>
        <v>8.6178115195355075E+24</v>
      </c>
      <c r="M265" s="11">
        <f t="shared" si="25"/>
        <v>3.917187054334323E+25</v>
      </c>
      <c r="N265" s="13">
        <f t="shared" si="22"/>
        <v>6350</v>
      </c>
      <c r="O265" s="17">
        <f t="shared" si="26"/>
        <v>1.3571356723677965E+21</v>
      </c>
      <c r="Q265" s="5">
        <f t="shared" si="23"/>
        <v>-127</v>
      </c>
      <c r="R265" s="16">
        <f t="shared" si="24"/>
        <v>0.127</v>
      </c>
    </row>
    <row r="266" spans="11:18" x14ac:dyDescent="0.3">
      <c r="K266" s="5">
        <v>255</v>
      </c>
      <c r="L266" s="11">
        <f t="shared" si="21"/>
        <v>1.0513730053833321E+25</v>
      </c>
      <c r="M266" s="11">
        <f t="shared" si="25"/>
        <v>4.7789682062878735E+25</v>
      </c>
      <c r="N266" s="13">
        <f t="shared" si="22"/>
        <v>6375</v>
      </c>
      <c r="O266" s="17">
        <f t="shared" si="26"/>
        <v>1.6492125574640503E+21</v>
      </c>
      <c r="Q266" s="5">
        <f t="shared" si="23"/>
        <v>-127.5</v>
      </c>
      <c r="R266" s="16">
        <f t="shared" si="24"/>
        <v>0.1275</v>
      </c>
    </row>
    <row r="267" spans="11:18" x14ac:dyDescent="0.3">
      <c r="K267" s="5">
        <v>256</v>
      </c>
      <c r="L267" s="11">
        <f t="shared" si="21"/>
        <v>1.2826750665676649E+25</v>
      </c>
      <c r="M267" s="11">
        <f t="shared" si="25"/>
        <v>5.8303412116712058E+25</v>
      </c>
      <c r="N267" s="13">
        <f t="shared" si="22"/>
        <v>6400</v>
      </c>
      <c r="O267" s="17">
        <f t="shared" si="26"/>
        <v>2.0041797915119764E+21</v>
      </c>
      <c r="Q267" s="5">
        <f t="shared" si="23"/>
        <v>-128</v>
      </c>
      <c r="R267" s="16">
        <f t="shared" si="24"/>
        <v>0.128</v>
      </c>
    </row>
    <row r="268" spans="11:18" x14ac:dyDescent="0.3">
      <c r="K268" s="5">
        <v>257</v>
      </c>
      <c r="L268" s="11">
        <f t="shared" ref="L268:L331" si="27">$I$6*($I$7^K268)</f>
        <v>1.5648635812125511E+25</v>
      </c>
      <c r="M268" s="11">
        <f t="shared" si="25"/>
        <v>7.1130162782388703E+25</v>
      </c>
      <c r="N268" s="13">
        <f t="shared" ref="N268:N331" si="28">K268*$I$8</f>
        <v>6425</v>
      </c>
      <c r="O268" s="17">
        <f t="shared" si="26"/>
        <v>2.4355853404086395E+21</v>
      </c>
      <c r="Q268" s="5">
        <f t="shared" ref="Q268:Q331" si="29">K268*$I$11</f>
        <v>-128.5</v>
      </c>
      <c r="R268" s="16">
        <f t="shared" ref="R268:R331" si="30">K268*$I$12</f>
        <v>0.1285</v>
      </c>
    </row>
    <row r="269" spans="11:18" x14ac:dyDescent="0.3">
      <c r="K269" s="5">
        <v>258</v>
      </c>
      <c r="L269" s="11">
        <f t="shared" si="27"/>
        <v>1.9091335690793125E+25</v>
      </c>
      <c r="M269" s="11">
        <f t="shared" si="25"/>
        <v>8.6778798594514207E+25</v>
      </c>
      <c r="N269" s="13">
        <f t="shared" si="28"/>
        <v>6450</v>
      </c>
      <c r="O269" s="17">
        <f t="shared" si="26"/>
        <v>2.9598970063245153E+21</v>
      </c>
      <c r="Q269" s="5">
        <f t="shared" si="29"/>
        <v>-129</v>
      </c>
      <c r="R269" s="16">
        <f t="shared" si="30"/>
        <v>0.129</v>
      </c>
    </row>
    <row r="270" spans="11:18" x14ac:dyDescent="0.3">
      <c r="K270" s="5">
        <v>259</v>
      </c>
      <c r="L270" s="11">
        <f t="shared" si="27"/>
        <v>2.329142954276761E+25</v>
      </c>
      <c r="M270" s="11">
        <f t="shared" si="25"/>
        <v>1.0587013428530733E+26</v>
      </c>
      <c r="N270" s="13">
        <f t="shared" si="28"/>
        <v>6475</v>
      </c>
      <c r="O270" s="17">
        <f t="shared" si="26"/>
        <v>3.5971319757170053E+21</v>
      </c>
      <c r="Q270" s="5">
        <f t="shared" si="29"/>
        <v>-129.5</v>
      </c>
      <c r="R270" s="16">
        <f t="shared" si="30"/>
        <v>0.1295</v>
      </c>
    </row>
    <row r="271" spans="11:18" x14ac:dyDescent="0.3">
      <c r="K271" s="5">
        <v>260</v>
      </c>
      <c r="L271" s="11">
        <f t="shared" si="27"/>
        <v>2.8415544042176479E+25</v>
      </c>
      <c r="M271" s="11">
        <f t="shared" ref="M271:M331" si="31">M270+L270</f>
        <v>1.2916156382807493E+26</v>
      </c>
      <c r="N271" s="13">
        <f t="shared" si="28"/>
        <v>6500</v>
      </c>
      <c r="O271" s="17">
        <f t="shared" si="26"/>
        <v>4.3716221603348428E+21</v>
      </c>
      <c r="Q271" s="5">
        <f t="shared" si="29"/>
        <v>-130</v>
      </c>
      <c r="R271" s="16">
        <f t="shared" si="30"/>
        <v>0.13</v>
      </c>
    </row>
    <row r="272" spans="11:18" x14ac:dyDescent="0.3">
      <c r="K272" s="5">
        <v>261</v>
      </c>
      <c r="L272" s="11">
        <f t="shared" si="27"/>
        <v>3.4666963731455311E+25</v>
      </c>
      <c r="M272" s="11">
        <f t="shared" si="31"/>
        <v>1.575771078702514E+26</v>
      </c>
      <c r="N272" s="13">
        <f t="shared" si="28"/>
        <v>6525</v>
      </c>
      <c r="O272" s="17">
        <f t="shared" ref="O272:O331" si="32">L272/N272</f>
        <v>5.3129446331732281E+21</v>
      </c>
      <c r="Q272" s="5">
        <f t="shared" si="29"/>
        <v>-130.5</v>
      </c>
      <c r="R272" s="16">
        <f t="shared" si="30"/>
        <v>0.1305</v>
      </c>
    </row>
    <row r="273" spans="11:18" x14ac:dyDescent="0.3">
      <c r="K273" s="5">
        <v>262</v>
      </c>
      <c r="L273" s="11">
        <f t="shared" si="27"/>
        <v>4.2293695752375476E+25</v>
      </c>
      <c r="M273" s="11">
        <f t="shared" si="31"/>
        <v>1.9224407160170672E+26</v>
      </c>
      <c r="N273" s="13">
        <f t="shared" si="28"/>
        <v>6550</v>
      </c>
      <c r="O273" s="17">
        <f t="shared" si="32"/>
        <v>6.4570527866222102E+21</v>
      </c>
      <c r="Q273" s="5">
        <f t="shared" si="29"/>
        <v>-131</v>
      </c>
      <c r="R273" s="16">
        <f t="shared" si="30"/>
        <v>0.13100000000000001</v>
      </c>
    </row>
    <row r="274" spans="11:18" x14ac:dyDescent="0.3">
      <c r="K274" s="5">
        <v>263</v>
      </c>
      <c r="L274" s="11">
        <f t="shared" si="27"/>
        <v>5.1598308817898076E+25</v>
      </c>
      <c r="M274" s="11">
        <f t="shared" si="31"/>
        <v>2.3453776735408219E+26</v>
      </c>
      <c r="N274" s="13">
        <f t="shared" si="28"/>
        <v>6575</v>
      </c>
      <c r="O274" s="17">
        <f t="shared" si="32"/>
        <v>7.8476515312392512E+21</v>
      </c>
      <c r="Q274" s="5">
        <f t="shared" si="29"/>
        <v>-131.5</v>
      </c>
      <c r="R274" s="16">
        <f t="shared" si="30"/>
        <v>0.13150000000000001</v>
      </c>
    </row>
    <row r="275" spans="11:18" x14ac:dyDescent="0.3">
      <c r="K275" s="5">
        <v>264</v>
      </c>
      <c r="L275" s="11">
        <f t="shared" si="27"/>
        <v>6.2949936757835644E+25</v>
      </c>
      <c r="M275" s="11">
        <f t="shared" si="31"/>
        <v>2.8613607617198026E+26</v>
      </c>
      <c r="N275" s="13">
        <f t="shared" si="28"/>
        <v>6600</v>
      </c>
      <c r="O275" s="17">
        <f t="shared" si="32"/>
        <v>9.5378692057326735E+21</v>
      </c>
      <c r="Q275" s="5">
        <f t="shared" si="29"/>
        <v>-132</v>
      </c>
      <c r="R275" s="16">
        <f t="shared" si="30"/>
        <v>0.13200000000000001</v>
      </c>
    </row>
    <row r="276" spans="11:18" x14ac:dyDescent="0.3">
      <c r="K276" s="5">
        <v>265</v>
      </c>
      <c r="L276" s="11">
        <f t="shared" si="27"/>
        <v>7.679892284455948E+25</v>
      </c>
      <c r="M276" s="11">
        <f t="shared" si="31"/>
        <v>3.4908601292981592E+26</v>
      </c>
      <c r="N276" s="13">
        <f t="shared" si="28"/>
        <v>6625</v>
      </c>
      <c r="O276" s="17">
        <f t="shared" si="32"/>
        <v>1.1592290240688223E+22</v>
      </c>
      <c r="Q276" s="5">
        <f t="shared" si="29"/>
        <v>-132.5</v>
      </c>
      <c r="R276" s="16">
        <f t="shared" si="30"/>
        <v>0.13250000000000001</v>
      </c>
    </row>
    <row r="277" spans="11:18" x14ac:dyDescent="0.3">
      <c r="K277" s="5">
        <v>266</v>
      </c>
      <c r="L277" s="11">
        <f t="shared" si="27"/>
        <v>9.3694685870362564E+25</v>
      </c>
      <c r="M277" s="11">
        <f t="shared" si="31"/>
        <v>4.258849357743754E+26</v>
      </c>
      <c r="N277" s="13">
        <f t="shared" si="28"/>
        <v>6650</v>
      </c>
      <c r="O277" s="17">
        <f t="shared" si="32"/>
        <v>1.4089426446671063E+22</v>
      </c>
      <c r="Q277" s="5">
        <f t="shared" si="29"/>
        <v>-133</v>
      </c>
      <c r="R277" s="16">
        <f t="shared" si="30"/>
        <v>0.13300000000000001</v>
      </c>
    </row>
    <row r="278" spans="11:18" x14ac:dyDescent="0.3">
      <c r="K278" s="5">
        <v>267</v>
      </c>
      <c r="L278" s="11">
        <f t="shared" si="27"/>
        <v>1.1430751676184233E+26</v>
      </c>
      <c r="M278" s="11">
        <f t="shared" si="31"/>
        <v>5.19579621644738E+26</v>
      </c>
      <c r="N278" s="13">
        <f t="shared" si="28"/>
        <v>6675</v>
      </c>
      <c r="O278" s="17">
        <f t="shared" si="32"/>
        <v>1.7124721612261022E+22</v>
      </c>
      <c r="Q278" s="5">
        <f t="shared" si="29"/>
        <v>-133.5</v>
      </c>
      <c r="R278" s="16">
        <f t="shared" si="30"/>
        <v>0.13350000000000001</v>
      </c>
    </row>
    <row r="279" spans="11:18" x14ac:dyDescent="0.3">
      <c r="K279" s="5">
        <v>268</v>
      </c>
      <c r="L279" s="11">
        <f t="shared" si="27"/>
        <v>1.3945517044944763E+26</v>
      </c>
      <c r="M279" s="11">
        <f t="shared" si="31"/>
        <v>6.3388713840658029E+26</v>
      </c>
      <c r="N279" s="13">
        <f t="shared" si="28"/>
        <v>6700</v>
      </c>
      <c r="O279" s="17">
        <f t="shared" si="32"/>
        <v>2.0814204544693677E+22</v>
      </c>
      <c r="Q279" s="5">
        <f t="shared" si="29"/>
        <v>-134</v>
      </c>
      <c r="R279" s="16">
        <f t="shared" si="30"/>
        <v>0.13400000000000001</v>
      </c>
    </row>
    <row r="280" spans="11:18" x14ac:dyDescent="0.3">
      <c r="K280" s="5">
        <v>269</v>
      </c>
      <c r="L280" s="11">
        <f t="shared" si="27"/>
        <v>1.701353079483261E+26</v>
      </c>
      <c r="M280" s="11">
        <f t="shared" si="31"/>
        <v>7.7334230885602792E+26</v>
      </c>
      <c r="N280" s="13">
        <f t="shared" si="28"/>
        <v>6725</v>
      </c>
      <c r="O280" s="17">
        <f t="shared" si="32"/>
        <v>2.5298930549936968E+22</v>
      </c>
      <c r="Q280" s="5">
        <f t="shared" si="29"/>
        <v>-134.5</v>
      </c>
      <c r="R280" s="16">
        <f t="shared" si="30"/>
        <v>0.13450000000000001</v>
      </c>
    </row>
    <row r="281" spans="11:18" x14ac:dyDescent="0.3">
      <c r="K281" s="5">
        <v>270</v>
      </c>
      <c r="L281" s="11">
        <f t="shared" si="27"/>
        <v>2.0756507569695783E+26</v>
      </c>
      <c r="M281" s="11">
        <f t="shared" si="31"/>
        <v>9.4347761680435399E+26</v>
      </c>
      <c r="N281" s="13">
        <f t="shared" si="28"/>
        <v>6750</v>
      </c>
      <c r="O281" s="17">
        <f t="shared" si="32"/>
        <v>3.0750381584734495E+22</v>
      </c>
      <c r="Q281" s="5">
        <f t="shared" si="29"/>
        <v>-135</v>
      </c>
      <c r="R281" s="16">
        <f t="shared" si="30"/>
        <v>0.13500000000000001</v>
      </c>
    </row>
    <row r="282" spans="11:18" x14ac:dyDescent="0.3">
      <c r="K282" s="5">
        <v>271</v>
      </c>
      <c r="L282" s="11">
        <f t="shared" si="27"/>
        <v>2.5322939235028856E+26</v>
      </c>
      <c r="M282" s="11">
        <f t="shared" si="31"/>
        <v>1.1510426925013119E+27</v>
      </c>
      <c r="N282" s="13">
        <f t="shared" si="28"/>
        <v>6775</v>
      </c>
      <c r="O282" s="17">
        <f t="shared" si="32"/>
        <v>3.7377032081223402E+22</v>
      </c>
      <c r="Q282" s="5">
        <f t="shared" si="29"/>
        <v>-135.5</v>
      </c>
      <c r="R282" s="16">
        <f t="shared" si="30"/>
        <v>0.13550000000000001</v>
      </c>
    </row>
    <row r="283" spans="11:18" x14ac:dyDescent="0.3">
      <c r="K283" s="5">
        <v>272</v>
      </c>
      <c r="L283" s="11">
        <f t="shared" si="27"/>
        <v>3.08939858667352E+26</v>
      </c>
      <c r="M283" s="11">
        <f t="shared" si="31"/>
        <v>1.4042720848516004E+27</v>
      </c>
      <c r="N283" s="13">
        <f t="shared" si="28"/>
        <v>6800</v>
      </c>
      <c r="O283" s="17">
        <f t="shared" si="32"/>
        <v>4.5432332156963526E+22</v>
      </c>
      <c r="Q283" s="5">
        <f t="shared" si="29"/>
        <v>-136</v>
      </c>
      <c r="R283" s="16">
        <f t="shared" si="30"/>
        <v>0.13600000000000001</v>
      </c>
    </row>
    <row r="284" spans="11:18" x14ac:dyDescent="0.3">
      <c r="K284" s="5">
        <v>273</v>
      </c>
      <c r="L284" s="11">
        <f t="shared" si="27"/>
        <v>3.7690662757416938E+26</v>
      </c>
      <c r="M284" s="11">
        <f t="shared" si="31"/>
        <v>1.7132119435189525E+27</v>
      </c>
      <c r="N284" s="13">
        <f t="shared" si="28"/>
        <v>6825</v>
      </c>
      <c r="O284" s="17">
        <f t="shared" si="32"/>
        <v>5.5224414296581595E+22</v>
      </c>
      <c r="Q284" s="5">
        <f t="shared" si="29"/>
        <v>-136.5</v>
      </c>
      <c r="R284" s="16">
        <f t="shared" si="30"/>
        <v>0.13650000000000001</v>
      </c>
    </row>
    <row r="285" spans="11:18" x14ac:dyDescent="0.3">
      <c r="K285" s="5">
        <v>274</v>
      </c>
      <c r="L285" s="11">
        <f t="shared" si="27"/>
        <v>4.5982608564048666E+26</v>
      </c>
      <c r="M285" s="11">
        <f t="shared" si="31"/>
        <v>2.0901185710931218E+27</v>
      </c>
      <c r="N285" s="13">
        <f t="shared" si="28"/>
        <v>6850</v>
      </c>
      <c r="O285" s="17">
        <f t="shared" si="32"/>
        <v>6.7127895713939655E+22</v>
      </c>
      <c r="Q285" s="5">
        <f t="shared" si="29"/>
        <v>-137</v>
      </c>
      <c r="R285" s="16">
        <f t="shared" si="30"/>
        <v>0.13700000000000001</v>
      </c>
    </row>
    <row r="286" spans="11:18" x14ac:dyDescent="0.3">
      <c r="K286" s="5">
        <v>275</v>
      </c>
      <c r="L286" s="11">
        <f t="shared" si="27"/>
        <v>5.609878244813938E+26</v>
      </c>
      <c r="M286" s="11">
        <f t="shared" si="31"/>
        <v>2.5499446567336084E+27</v>
      </c>
      <c r="N286" s="13">
        <f t="shared" si="28"/>
        <v>6875</v>
      </c>
      <c r="O286" s="17">
        <f t="shared" si="32"/>
        <v>8.1598229015475459E+22</v>
      </c>
      <c r="Q286" s="5">
        <f t="shared" si="29"/>
        <v>-137.5</v>
      </c>
      <c r="R286" s="16">
        <f t="shared" si="30"/>
        <v>0.13750000000000001</v>
      </c>
    </row>
    <row r="287" spans="11:18" x14ac:dyDescent="0.3">
      <c r="K287" s="5">
        <v>276</v>
      </c>
      <c r="L287" s="11">
        <f t="shared" si="27"/>
        <v>6.8440514586730032E+26</v>
      </c>
      <c r="M287" s="11">
        <f t="shared" si="31"/>
        <v>3.1109324812150021E+27</v>
      </c>
      <c r="N287" s="13">
        <f t="shared" si="28"/>
        <v>6900</v>
      </c>
      <c r="O287" s="17">
        <f t="shared" si="32"/>
        <v>9.9189151574971067E+22</v>
      </c>
      <c r="Q287" s="5">
        <f t="shared" si="29"/>
        <v>-138</v>
      </c>
      <c r="R287" s="16">
        <f t="shared" si="30"/>
        <v>0.13800000000000001</v>
      </c>
    </row>
    <row r="288" spans="11:18" x14ac:dyDescent="0.3">
      <c r="K288" s="5">
        <v>277</v>
      </c>
      <c r="L288" s="11">
        <f t="shared" si="27"/>
        <v>8.3497427795810633E+26</v>
      </c>
      <c r="M288" s="11">
        <f t="shared" si="31"/>
        <v>3.7953376270823027E+27</v>
      </c>
      <c r="N288" s="13">
        <f t="shared" si="28"/>
        <v>6925</v>
      </c>
      <c r="O288" s="17">
        <f t="shared" si="32"/>
        <v>1.2057390295423919E+23</v>
      </c>
      <c r="Q288" s="5">
        <f t="shared" si="29"/>
        <v>-138.5</v>
      </c>
      <c r="R288" s="16">
        <f t="shared" si="30"/>
        <v>0.13850000000000001</v>
      </c>
    </row>
    <row r="289" spans="11:18" x14ac:dyDescent="0.3">
      <c r="K289" s="5">
        <v>278</v>
      </c>
      <c r="L289" s="11">
        <f t="shared" si="27"/>
        <v>1.0186686191088897E+27</v>
      </c>
      <c r="M289" s="11">
        <f t="shared" si="31"/>
        <v>4.630311905040409E+27</v>
      </c>
      <c r="N289" s="13">
        <f t="shared" si="28"/>
        <v>6950</v>
      </c>
      <c r="O289" s="17">
        <f t="shared" si="32"/>
        <v>1.4657102433221435E+23</v>
      </c>
      <c r="Q289" s="5">
        <f t="shared" si="29"/>
        <v>-139</v>
      </c>
      <c r="R289" s="16">
        <f t="shared" si="30"/>
        <v>0.13900000000000001</v>
      </c>
    </row>
    <row r="290" spans="11:18" x14ac:dyDescent="0.3">
      <c r="K290" s="5">
        <v>279</v>
      </c>
      <c r="L290" s="11">
        <f t="shared" si="27"/>
        <v>1.2427757153128455E+27</v>
      </c>
      <c r="M290" s="11">
        <f t="shared" si="31"/>
        <v>5.6489805241492984E+27</v>
      </c>
      <c r="N290" s="13">
        <f t="shared" si="28"/>
        <v>6975</v>
      </c>
      <c r="O290" s="17">
        <f t="shared" si="32"/>
        <v>1.7817572979395635E+23</v>
      </c>
      <c r="Q290" s="5">
        <f t="shared" si="29"/>
        <v>-139.5</v>
      </c>
      <c r="R290" s="16">
        <f t="shared" si="30"/>
        <v>0.13950000000000001</v>
      </c>
    </row>
    <row r="291" spans="11:18" x14ac:dyDescent="0.3">
      <c r="K291" s="5">
        <v>280</v>
      </c>
      <c r="L291" s="11">
        <f t="shared" si="27"/>
        <v>1.5161863726816713E+27</v>
      </c>
      <c r="M291" s="11">
        <f t="shared" si="31"/>
        <v>6.8917562394621439E+27</v>
      </c>
      <c r="N291" s="13">
        <f t="shared" si="28"/>
        <v>7000</v>
      </c>
      <c r="O291" s="17">
        <f t="shared" si="32"/>
        <v>2.1659805324023877E+23</v>
      </c>
      <c r="Q291" s="5">
        <f t="shared" si="29"/>
        <v>-140</v>
      </c>
      <c r="R291" s="16">
        <f t="shared" si="30"/>
        <v>0.14000000000000001</v>
      </c>
    </row>
    <row r="292" spans="11:18" x14ac:dyDescent="0.3">
      <c r="K292" s="5">
        <v>281</v>
      </c>
      <c r="L292" s="11">
        <f t="shared" si="27"/>
        <v>1.849747374671639E+27</v>
      </c>
      <c r="M292" s="11">
        <f t="shared" si="31"/>
        <v>8.4079426121438147E+27</v>
      </c>
      <c r="N292" s="13">
        <f t="shared" si="28"/>
        <v>7025</v>
      </c>
      <c r="O292" s="17">
        <f t="shared" si="32"/>
        <v>2.6330923482870304E+23</v>
      </c>
      <c r="Q292" s="5">
        <f t="shared" si="29"/>
        <v>-140.5</v>
      </c>
      <c r="R292" s="16">
        <f t="shared" si="30"/>
        <v>0.14050000000000001</v>
      </c>
    </row>
    <row r="293" spans="11:18" x14ac:dyDescent="0.3">
      <c r="K293" s="5">
        <v>282</v>
      </c>
      <c r="L293" s="11">
        <f t="shared" si="27"/>
        <v>2.2566917970993994E+27</v>
      </c>
      <c r="M293" s="11">
        <f t="shared" si="31"/>
        <v>1.0257689986815455E+28</v>
      </c>
      <c r="N293" s="13">
        <f t="shared" si="28"/>
        <v>7050</v>
      </c>
      <c r="O293" s="17">
        <f t="shared" si="32"/>
        <v>3.2009812724814176E+23</v>
      </c>
      <c r="Q293" s="5">
        <f t="shared" si="29"/>
        <v>-141</v>
      </c>
      <c r="R293" s="16">
        <f t="shared" si="30"/>
        <v>0.14100000000000001</v>
      </c>
    </row>
    <row r="294" spans="11:18" x14ac:dyDescent="0.3">
      <c r="K294" s="5">
        <v>283</v>
      </c>
      <c r="L294" s="11">
        <f t="shared" si="27"/>
        <v>2.753163992461267E+27</v>
      </c>
      <c r="M294" s="11">
        <f t="shared" si="31"/>
        <v>1.2514381783914854E+28</v>
      </c>
      <c r="N294" s="13">
        <f t="shared" si="28"/>
        <v>7075</v>
      </c>
      <c r="O294" s="17">
        <f t="shared" si="32"/>
        <v>3.8913978692032046E+23</v>
      </c>
      <c r="Q294" s="5">
        <f t="shared" si="29"/>
        <v>-141.5</v>
      </c>
      <c r="R294" s="16">
        <f t="shared" si="30"/>
        <v>0.14150000000000001</v>
      </c>
    </row>
    <row r="295" spans="11:18" x14ac:dyDescent="0.3">
      <c r="K295" s="5">
        <v>284</v>
      </c>
      <c r="L295" s="11">
        <f t="shared" si="27"/>
        <v>3.3588600708027453E+27</v>
      </c>
      <c r="M295" s="11">
        <f t="shared" si="31"/>
        <v>1.5267545776376121E+28</v>
      </c>
      <c r="N295" s="13">
        <f t="shared" si="28"/>
        <v>7100</v>
      </c>
      <c r="O295" s="17">
        <f t="shared" si="32"/>
        <v>4.7307888321165426E+23</v>
      </c>
      <c r="Q295" s="5">
        <f t="shared" si="29"/>
        <v>-142</v>
      </c>
      <c r="R295" s="16">
        <f t="shared" si="30"/>
        <v>0.14200000000000002</v>
      </c>
    </row>
    <row r="296" spans="11:18" x14ac:dyDescent="0.3">
      <c r="K296" s="5">
        <v>285</v>
      </c>
      <c r="L296" s="11">
        <f t="shared" si="27"/>
        <v>4.0978092863793497E+27</v>
      </c>
      <c r="M296" s="11">
        <f t="shared" si="31"/>
        <v>1.8626405847178867E+28</v>
      </c>
      <c r="N296" s="13">
        <f t="shared" si="28"/>
        <v>7125</v>
      </c>
      <c r="O296" s="17">
        <f t="shared" si="32"/>
        <v>5.751311279128912E+23</v>
      </c>
      <c r="Q296" s="5">
        <f t="shared" si="29"/>
        <v>-142.5</v>
      </c>
      <c r="R296" s="16">
        <f t="shared" si="30"/>
        <v>0.14250000000000002</v>
      </c>
    </row>
    <row r="297" spans="11:18" x14ac:dyDescent="0.3">
      <c r="K297" s="5">
        <v>286</v>
      </c>
      <c r="L297" s="11">
        <f t="shared" si="27"/>
        <v>4.9993273293828061E+27</v>
      </c>
      <c r="M297" s="11">
        <f t="shared" si="31"/>
        <v>2.2724215133558216E+28</v>
      </c>
      <c r="N297" s="13">
        <f t="shared" si="28"/>
        <v>7150</v>
      </c>
      <c r="O297" s="17">
        <f t="shared" si="32"/>
        <v>6.9920661949409872E+23</v>
      </c>
      <c r="Q297" s="5">
        <f t="shared" si="29"/>
        <v>-143</v>
      </c>
      <c r="R297" s="16">
        <f t="shared" si="30"/>
        <v>0.14300000000000002</v>
      </c>
    </row>
    <row r="298" spans="11:18" x14ac:dyDescent="0.3">
      <c r="K298" s="5">
        <v>287</v>
      </c>
      <c r="L298" s="11">
        <f t="shared" si="27"/>
        <v>6.0991793418470242E+27</v>
      </c>
      <c r="M298" s="11">
        <f t="shared" si="31"/>
        <v>2.7723542462941021E+28</v>
      </c>
      <c r="N298" s="13">
        <f t="shared" si="28"/>
        <v>7175</v>
      </c>
      <c r="O298" s="17">
        <f t="shared" si="32"/>
        <v>8.5005983858495111E+23</v>
      </c>
      <c r="Q298" s="5">
        <f t="shared" si="29"/>
        <v>-143.5</v>
      </c>
      <c r="R298" s="16">
        <f t="shared" si="30"/>
        <v>0.14350000000000002</v>
      </c>
    </row>
    <row r="299" spans="11:18" x14ac:dyDescent="0.3">
      <c r="K299" s="5">
        <v>288</v>
      </c>
      <c r="L299" s="11">
        <f t="shared" si="27"/>
        <v>7.4409987970533683E+27</v>
      </c>
      <c r="M299" s="11">
        <f t="shared" si="31"/>
        <v>3.3822721804788045E+28</v>
      </c>
      <c r="N299" s="13">
        <f t="shared" si="28"/>
        <v>7200</v>
      </c>
      <c r="O299" s="17">
        <f t="shared" si="32"/>
        <v>1.0334720551463012E+24</v>
      </c>
      <c r="Q299" s="5">
        <f t="shared" si="29"/>
        <v>-144</v>
      </c>
      <c r="R299" s="16">
        <f t="shared" si="30"/>
        <v>0.14400000000000002</v>
      </c>
    </row>
    <row r="300" spans="11:18" x14ac:dyDescent="0.3">
      <c r="K300" s="5">
        <v>289</v>
      </c>
      <c r="L300" s="11">
        <f t="shared" si="27"/>
        <v>9.0780185324051087E+27</v>
      </c>
      <c r="M300" s="11">
        <f t="shared" si="31"/>
        <v>4.1263720601841414E+28</v>
      </c>
      <c r="N300" s="13">
        <f t="shared" si="28"/>
        <v>7225</v>
      </c>
      <c r="O300" s="17">
        <f t="shared" si="32"/>
        <v>1.2564731532740634E+24</v>
      </c>
      <c r="Q300" s="5">
        <f t="shared" si="29"/>
        <v>-144.5</v>
      </c>
      <c r="R300" s="16">
        <f t="shared" si="30"/>
        <v>0.14449999999999999</v>
      </c>
    </row>
    <row r="301" spans="11:18" x14ac:dyDescent="0.3">
      <c r="K301" s="5">
        <v>290</v>
      </c>
      <c r="L301" s="11">
        <f t="shared" si="27"/>
        <v>1.107518260953423E+28</v>
      </c>
      <c r="M301" s="11">
        <f t="shared" si="31"/>
        <v>5.0341739134246527E+28</v>
      </c>
      <c r="N301" s="13">
        <f t="shared" si="28"/>
        <v>7250</v>
      </c>
      <c r="O301" s="17">
        <f t="shared" si="32"/>
        <v>1.5276113944185146E+24</v>
      </c>
      <c r="Q301" s="5">
        <f t="shared" si="29"/>
        <v>-145</v>
      </c>
      <c r="R301" s="16">
        <f t="shared" si="30"/>
        <v>0.14499999999999999</v>
      </c>
    </row>
    <row r="302" spans="11:18" x14ac:dyDescent="0.3">
      <c r="K302" s="5">
        <v>291</v>
      </c>
      <c r="L302" s="11">
        <f t="shared" si="27"/>
        <v>1.3511722783631763E+28</v>
      </c>
      <c r="M302" s="11">
        <f t="shared" si="31"/>
        <v>6.1416921743780758E+28</v>
      </c>
      <c r="N302" s="13">
        <f t="shared" si="28"/>
        <v>7275</v>
      </c>
      <c r="O302" s="17">
        <f t="shared" si="32"/>
        <v>1.857281482286153E+24</v>
      </c>
      <c r="Q302" s="5">
        <f t="shared" si="29"/>
        <v>-145.5</v>
      </c>
      <c r="R302" s="16">
        <f t="shared" si="30"/>
        <v>0.14549999999999999</v>
      </c>
    </row>
    <row r="303" spans="11:18" x14ac:dyDescent="0.3">
      <c r="K303" s="5">
        <v>292</v>
      </c>
      <c r="L303" s="11">
        <f t="shared" si="27"/>
        <v>1.648430179603075E+28</v>
      </c>
      <c r="M303" s="11">
        <f t="shared" si="31"/>
        <v>7.4928644527412518E+28</v>
      </c>
      <c r="N303" s="13">
        <f t="shared" si="28"/>
        <v>7300</v>
      </c>
      <c r="O303" s="17">
        <f t="shared" si="32"/>
        <v>2.2581235337028424E+24</v>
      </c>
      <c r="Q303" s="5">
        <f t="shared" si="29"/>
        <v>-146</v>
      </c>
      <c r="R303" s="16">
        <f t="shared" si="30"/>
        <v>0.14599999999999999</v>
      </c>
    </row>
    <row r="304" spans="11:18" x14ac:dyDescent="0.3">
      <c r="K304" s="5">
        <v>293</v>
      </c>
      <c r="L304" s="11">
        <f t="shared" si="27"/>
        <v>2.0110848191157513E+28</v>
      </c>
      <c r="M304" s="11">
        <f t="shared" si="31"/>
        <v>9.1412946323443273E+28</v>
      </c>
      <c r="N304" s="13">
        <f t="shared" si="28"/>
        <v>7325</v>
      </c>
      <c r="O304" s="17">
        <f t="shared" si="32"/>
        <v>2.7455082854822545E+24</v>
      </c>
      <c r="Q304" s="5">
        <f t="shared" si="29"/>
        <v>-146.5</v>
      </c>
      <c r="R304" s="16">
        <f t="shared" si="30"/>
        <v>0.14649999999999999</v>
      </c>
    </row>
    <row r="305" spans="11:18" x14ac:dyDescent="0.3">
      <c r="K305" s="5">
        <v>294</v>
      </c>
      <c r="L305" s="11">
        <f t="shared" si="27"/>
        <v>2.4535234793212162E+28</v>
      </c>
      <c r="M305" s="11">
        <f t="shared" si="31"/>
        <v>1.1152379451460079E+29</v>
      </c>
      <c r="N305" s="13">
        <f t="shared" si="28"/>
        <v>7350</v>
      </c>
      <c r="O305" s="17">
        <f t="shared" si="32"/>
        <v>3.3381271827499539E+24</v>
      </c>
      <c r="Q305" s="5">
        <f t="shared" si="29"/>
        <v>-147</v>
      </c>
      <c r="R305" s="16">
        <f t="shared" si="30"/>
        <v>0.14699999999999999</v>
      </c>
    </row>
    <row r="306" spans="11:18" x14ac:dyDescent="0.3">
      <c r="K306" s="5">
        <v>295</v>
      </c>
      <c r="L306" s="11">
        <f t="shared" si="27"/>
        <v>2.9932986447718843E+28</v>
      </c>
      <c r="M306" s="11">
        <f t="shared" si="31"/>
        <v>1.3605902930781295E+29</v>
      </c>
      <c r="N306" s="13">
        <f t="shared" si="28"/>
        <v>7375</v>
      </c>
      <c r="O306" s="17">
        <f t="shared" si="32"/>
        <v>4.0587100268093348E+24</v>
      </c>
      <c r="Q306" s="5">
        <f t="shared" si="29"/>
        <v>-147.5</v>
      </c>
      <c r="R306" s="16">
        <f t="shared" si="30"/>
        <v>0.14749999999999999</v>
      </c>
    </row>
    <row r="307" spans="11:18" x14ac:dyDescent="0.3">
      <c r="K307" s="5">
        <v>296</v>
      </c>
      <c r="L307" s="11">
        <f t="shared" si="27"/>
        <v>3.6518243466216983E+28</v>
      </c>
      <c r="M307" s="11">
        <f t="shared" si="31"/>
        <v>1.6599201575553177E+29</v>
      </c>
      <c r="N307" s="13">
        <f t="shared" si="28"/>
        <v>7400</v>
      </c>
      <c r="O307" s="17">
        <f t="shared" si="32"/>
        <v>4.9348977657049978E+24</v>
      </c>
      <c r="Q307" s="5">
        <f t="shared" si="29"/>
        <v>-148</v>
      </c>
      <c r="R307" s="16">
        <f t="shared" si="30"/>
        <v>0.14799999999999999</v>
      </c>
    </row>
    <row r="308" spans="11:18" x14ac:dyDescent="0.3">
      <c r="K308" s="5">
        <v>297</v>
      </c>
      <c r="L308" s="11">
        <f t="shared" si="27"/>
        <v>4.4552257028784715E+28</v>
      </c>
      <c r="M308" s="11">
        <f t="shared" si="31"/>
        <v>2.0251025922174877E+29</v>
      </c>
      <c r="N308" s="13">
        <f t="shared" si="28"/>
        <v>7425</v>
      </c>
      <c r="O308" s="17">
        <f t="shared" si="32"/>
        <v>6.0003039769407026E+24</v>
      </c>
      <c r="Q308" s="5">
        <f t="shared" si="29"/>
        <v>-148.5</v>
      </c>
      <c r="R308" s="16">
        <f t="shared" si="30"/>
        <v>0.14849999999999999</v>
      </c>
    </row>
    <row r="309" spans="11:18" x14ac:dyDescent="0.3">
      <c r="K309" s="5">
        <v>298</v>
      </c>
      <c r="L309" s="11">
        <f t="shared" si="27"/>
        <v>5.4353753575117348E+28</v>
      </c>
      <c r="M309" s="11">
        <f t="shared" si="31"/>
        <v>2.4706251625053349E+29</v>
      </c>
      <c r="N309" s="13">
        <f t="shared" si="28"/>
        <v>7450</v>
      </c>
      <c r="O309" s="17">
        <f t="shared" si="32"/>
        <v>7.2958058490090397E+24</v>
      </c>
      <c r="Q309" s="5">
        <f t="shared" si="29"/>
        <v>-149</v>
      </c>
      <c r="R309" s="16">
        <f t="shared" si="30"/>
        <v>0.14899999999999999</v>
      </c>
    </row>
    <row r="310" spans="11:18" x14ac:dyDescent="0.3">
      <c r="K310" s="5">
        <v>299</v>
      </c>
      <c r="L310" s="11">
        <f t="shared" si="27"/>
        <v>6.6311579361643163E+28</v>
      </c>
      <c r="M310" s="11">
        <f t="shared" si="31"/>
        <v>3.0141626982565083E+29</v>
      </c>
      <c r="N310" s="13">
        <f t="shared" si="28"/>
        <v>7475</v>
      </c>
      <c r="O310" s="17">
        <f t="shared" si="32"/>
        <v>8.8711142958719948E+24</v>
      </c>
      <c r="Q310" s="5">
        <f t="shared" si="29"/>
        <v>-149.5</v>
      </c>
      <c r="R310" s="16">
        <f t="shared" si="30"/>
        <v>0.14949999999999999</v>
      </c>
    </row>
    <row r="311" spans="11:18" x14ac:dyDescent="0.3">
      <c r="K311" s="5">
        <v>300</v>
      </c>
      <c r="L311" s="11">
        <f t="shared" si="27"/>
        <v>8.0900126821204654E+28</v>
      </c>
      <c r="M311" s="11">
        <f t="shared" si="31"/>
        <v>3.6772784918729398E+29</v>
      </c>
      <c r="N311" s="13">
        <f t="shared" si="28"/>
        <v>7500</v>
      </c>
      <c r="O311" s="17">
        <f t="shared" si="32"/>
        <v>1.078668357616062E+25</v>
      </c>
      <c r="Q311" s="5">
        <f t="shared" si="29"/>
        <v>-150</v>
      </c>
      <c r="R311" s="16">
        <f t="shared" si="30"/>
        <v>0.15</v>
      </c>
    </row>
    <row r="312" spans="11:18" x14ac:dyDescent="0.3">
      <c r="K312" s="5">
        <v>301</v>
      </c>
      <c r="L312" s="11">
        <f t="shared" si="27"/>
        <v>9.8698154721869669E+28</v>
      </c>
      <c r="M312" s="11">
        <f t="shared" si="31"/>
        <v>4.4862797600849862E+29</v>
      </c>
      <c r="N312" s="13">
        <f t="shared" si="28"/>
        <v>7525</v>
      </c>
      <c r="O312" s="17">
        <f t="shared" si="32"/>
        <v>1.3116033850082349E+25</v>
      </c>
      <c r="Q312" s="5">
        <f t="shared" si="29"/>
        <v>-150.5</v>
      </c>
      <c r="R312" s="16">
        <f t="shared" si="30"/>
        <v>0.15049999999999999</v>
      </c>
    </row>
    <row r="313" spans="11:18" x14ac:dyDescent="0.3">
      <c r="K313" s="5">
        <v>302</v>
      </c>
      <c r="L313" s="11">
        <f t="shared" si="27"/>
        <v>1.2041174876068099E+29</v>
      </c>
      <c r="M313" s="11">
        <f t="shared" si="31"/>
        <v>5.4732613073036825E+29</v>
      </c>
      <c r="N313" s="13">
        <f t="shared" si="28"/>
        <v>7550</v>
      </c>
      <c r="O313" s="17">
        <f t="shared" si="32"/>
        <v>1.5948575994792185E+25</v>
      </c>
      <c r="Q313" s="5">
        <f t="shared" si="29"/>
        <v>-151</v>
      </c>
      <c r="R313" s="16">
        <f t="shared" si="30"/>
        <v>0.151</v>
      </c>
    </row>
    <row r="314" spans="11:18" x14ac:dyDescent="0.3">
      <c r="K314" s="5">
        <v>303</v>
      </c>
      <c r="L314" s="11">
        <f t="shared" si="27"/>
        <v>1.4690233348803082E+29</v>
      </c>
      <c r="M314" s="11">
        <f t="shared" si="31"/>
        <v>6.6773787949104921E+29</v>
      </c>
      <c r="N314" s="13">
        <f t="shared" si="28"/>
        <v>7575</v>
      </c>
      <c r="O314" s="17">
        <f t="shared" si="32"/>
        <v>1.9393047325152585E+25</v>
      </c>
      <c r="Q314" s="5">
        <f t="shared" si="29"/>
        <v>-151.5</v>
      </c>
      <c r="R314" s="16">
        <f t="shared" si="30"/>
        <v>0.1515</v>
      </c>
    </row>
    <row r="315" spans="11:18" x14ac:dyDescent="0.3">
      <c r="K315" s="5">
        <v>304</v>
      </c>
      <c r="L315" s="11">
        <f t="shared" si="27"/>
        <v>1.7922084685539759E+29</v>
      </c>
      <c r="M315" s="11">
        <f t="shared" si="31"/>
        <v>8.1464021297908003E+29</v>
      </c>
      <c r="N315" s="13">
        <f t="shared" si="28"/>
        <v>7600</v>
      </c>
      <c r="O315" s="17">
        <f t="shared" si="32"/>
        <v>2.358169037571021E+25</v>
      </c>
      <c r="Q315" s="5">
        <f t="shared" si="29"/>
        <v>-152</v>
      </c>
      <c r="R315" s="16">
        <f t="shared" si="30"/>
        <v>0.152</v>
      </c>
    </row>
    <row r="316" spans="11:18" x14ac:dyDescent="0.3">
      <c r="K316" s="5">
        <v>305</v>
      </c>
      <c r="L316" s="11">
        <f t="shared" si="27"/>
        <v>2.1864943316358502E+29</v>
      </c>
      <c r="M316" s="11">
        <f t="shared" si="31"/>
        <v>9.9386105983447769E+29</v>
      </c>
      <c r="N316" s="13">
        <f t="shared" si="28"/>
        <v>7625</v>
      </c>
      <c r="O316" s="17">
        <f t="shared" si="32"/>
        <v>2.8675335496863607E+25</v>
      </c>
      <c r="Q316" s="5">
        <f t="shared" si="29"/>
        <v>-152.5</v>
      </c>
      <c r="R316" s="16">
        <f t="shared" si="30"/>
        <v>0.1525</v>
      </c>
    </row>
    <row r="317" spans="11:18" x14ac:dyDescent="0.3">
      <c r="K317" s="5">
        <v>306</v>
      </c>
      <c r="L317" s="11">
        <f t="shared" si="27"/>
        <v>2.6675230845957375E+29</v>
      </c>
      <c r="M317" s="11">
        <f t="shared" si="31"/>
        <v>1.2125104929980627E+30</v>
      </c>
      <c r="N317" s="13">
        <f t="shared" si="28"/>
        <v>7650</v>
      </c>
      <c r="O317" s="17">
        <f t="shared" si="32"/>
        <v>3.4869582805173041E+25</v>
      </c>
      <c r="Q317" s="5">
        <f t="shared" si="29"/>
        <v>-153</v>
      </c>
      <c r="R317" s="16">
        <f t="shared" si="30"/>
        <v>0.153</v>
      </c>
    </row>
    <row r="318" spans="11:18" x14ac:dyDescent="0.3">
      <c r="K318" s="5">
        <v>307</v>
      </c>
      <c r="L318" s="11">
        <f t="shared" si="27"/>
        <v>3.2543781632067993E+29</v>
      </c>
      <c r="M318" s="11">
        <f t="shared" si="31"/>
        <v>1.4792628014576366E+30</v>
      </c>
      <c r="N318" s="13">
        <f t="shared" si="28"/>
        <v>7675</v>
      </c>
      <c r="O318" s="17">
        <f t="shared" si="32"/>
        <v>4.2402321344713994E+25</v>
      </c>
      <c r="Q318" s="5">
        <f t="shared" si="29"/>
        <v>-153.5</v>
      </c>
      <c r="R318" s="16">
        <f t="shared" si="30"/>
        <v>0.1535</v>
      </c>
    </row>
    <row r="319" spans="11:18" x14ac:dyDescent="0.3">
      <c r="K319" s="5">
        <v>308</v>
      </c>
      <c r="L319" s="11">
        <f t="shared" si="27"/>
        <v>3.970341359112295E+29</v>
      </c>
      <c r="M319" s="11">
        <f t="shared" si="31"/>
        <v>1.8047006177783166E+30</v>
      </c>
      <c r="N319" s="13">
        <f t="shared" si="28"/>
        <v>7700</v>
      </c>
      <c r="O319" s="17">
        <f t="shared" si="32"/>
        <v>5.1562874793666168E+25</v>
      </c>
      <c r="Q319" s="5">
        <f t="shared" si="29"/>
        <v>-154</v>
      </c>
      <c r="R319" s="16">
        <f t="shared" si="30"/>
        <v>0.154</v>
      </c>
    </row>
    <row r="320" spans="11:18" x14ac:dyDescent="0.3">
      <c r="K320" s="5">
        <v>309</v>
      </c>
      <c r="L320" s="11">
        <f t="shared" si="27"/>
        <v>4.8438164581169994E+29</v>
      </c>
      <c r="M320" s="11">
        <f t="shared" si="31"/>
        <v>2.2017347536895461E+30</v>
      </c>
      <c r="N320" s="13">
        <f t="shared" si="28"/>
        <v>7725</v>
      </c>
      <c r="O320" s="17">
        <f t="shared" si="32"/>
        <v>6.2703125671417471E+25</v>
      </c>
      <c r="Q320" s="5">
        <f t="shared" si="29"/>
        <v>-154.5</v>
      </c>
      <c r="R320" s="16">
        <f t="shared" si="30"/>
        <v>0.1545</v>
      </c>
    </row>
    <row r="321" spans="11:18" x14ac:dyDescent="0.3">
      <c r="K321" s="5">
        <v>310</v>
      </c>
      <c r="L321" s="11">
        <f t="shared" si="27"/>
        <v>5.9094560789027395E+29</v>
      </c>
      <c r="M321" s="11">
        <f t="shared" si="31"/>
        <v>2.6861163995012461E+30</v>
      </c>
      <c r="N321" s="13">
        <f t="shared" si="28"/>
        <v>7750</v>
      </c>
      <c r="O321" s="17">
        <f t="shared" si="32"/>
        <v>7.6251046179390188E+25</v>
      </c>
      <c r="Q321" s="5">
        <f t="shared" si="29"/>
        <v>-155</v>
      </c>
      <c r="R321" s="16">
        <f t="shared" si="30"/>
        <v>0.155</v>
      </c>
    </row>
    <row r="322" spans="11:18" x14ac:dyDescent="0.3">
      <c r="K322" s="5">
        <v>311</v>
      </c>
      <c r="L322" s="11">
        <f t="shared" si="27"/>
        <v>7.2095364162613429E+29</v>
      </c>
      <c r="M322" s="11">
        <f t="shared" si="31"/>
        <v>3.2770620073915202E+30</v>
      </c>
      <c r="N322" s="13">
        <f t="shared" si="28"/>
        <v>7775</v>
      </c>
      <c r="O322" s="17">
        <f t="shared" si="32"/>
        <v>9.2727156479245563E+25</v>
      </c>
      <c r="Q322" s="5">
        <f t="shared" si="29"/>
        <v>-155.5</v>
      </c>
      <c r="R322" s="16">
        <f t="shared" si="30"/>
        <v>0.1555</v>
      </c>
    </row>
    <row r="323" spans="11:18" x14ac:dyDescent="0.3">
      <c r="K323" s="5">
        <v>312</v>
      </c>
      <c r="L323" s="11">
        <f t="shared" si="27"/>
        <v>8.7956344278388374E+29</v>
      </c>
      <c r="M323" s="11">
        <f t="shared" si="31"/>
        <v>3.9980156490176546E+30</v>
      </c>
      <c r="N323" s="13">
        <f t="shared" si="28"/>
        <v>7800</v>
      </c>
      <c r="O323" s="17">
        <f t="shared" si="32"/>
        <v>1.1276454394665175E+26</v>
      </c>
      <c r="Q323" s="5">
        <f t="shared" si="29"/>
        <v>-156</v>
      </c>
      <c r="R323" s="16">
        <f t="shared" si="30"/>
        <v>0.156</v>
      </c>
    </row>
    <row r="324" spans="11:18" x14ac:dyDescent="0.3">
      <c r="K324" s="5">
        <v>313</v>
      </c>
      <c r="L324" s="11">
        <f t="shared" si="27"/>
        <v>1.073067400196338E+30</v>
      </c>
      <c r="M324" s="11">
        <f t="shared" si="31"/>
        <v>4.8775790918015385E+30</v>
      </c>
      <c r="N324" s="13">
        <f t="shared" si="28"/>
        <v>7825</v>
      </c>
      <c r="O324" s="17">
        <f t="shared" si="32"/>
        <v>1.371332140825991E+26</v>
      </c>
      <c r="Q324" s="5">
        <f t="shared" si="29"/>
        <v>-156.5</v>
      </c>
      <c r="R324" s="16">
        <f t="shared" si="30"/>
        <v>0.1565</v>
      </c>
    </row>
    <row r="325" spans="11:18" x14ac:dyDescent="0.3">
      <c r="K325" s="5">
        <v>314</v>
      </c>
      <c r="L325" s="11">
        <f t="shared" si="27"/>
        <v>1.3091422282395326E+30</v>
      </c>
      <c r="M325" s="11">
        <f t="shared" si="31"/>
        <v>5.9506464919978767E+30</v>
      </c>
      <c r="N325" s="13">
        <f t="shared" si="28"/>
        <v>7850</v>
      </c>
      <c r="O325" s="17">
        <f t="shared" si="32"/>
        <v>1.6676971060376213E+26</v>
      </c>
      <c r="Q325" s="5">
        <f t="shared" si="29"/>
        <v>-157</v>
      </c>
      <c r="R325" s="16">
        <f t="shared" si="30"/>
        <v>0.157</v>
      </c>
    </row>
    <row r="326" spans="11:18" x14ac:dyDescent="0.3">
      <c r="K326" s="5">
        <v>315</v>
      </c>
      <c r="L326" s="11">
        <f t="shared" si="27"/>
        <v>1.5971535184522295E+30</v>
      </c>
      <c r="M326" s="11">
        <f t="shared" si="31"/>
        <v>7.2597887202374096E+30</v>
      </c>
      <c r="N326" s="13">
        <f t="shared" si="28"/>
        <v>7875</v>
      </c>
      <c r="O326" s="17">
        <f t="shared" si="32"/>
        <v>2.0281314520028313E+26</v>
      </c>
      <c r="Q326" s="5">
        <f t="shared" si="29"/>
        <v>-157.5</v>
      </c>
      <c r="R326" s="16">
        <f t="shared" si="30"/>
        <v>0.1575</v>
      </c>
    </row>
    <row r="327" spans="11:18" x14ac:dyDescent="0.3">
      <c r="K327" s="5">
        <v>316</v>
      </c>
      <c r="L327" s="11">
        <f t="shared" si="27"/>
        <v>1.9485272925117199E+30</v>
      </c>
      <c r="M327" s="11">
        <f t="shared" si="31"/>
        <v>8.8569422386896391E+30</v>
      </c>
      <c r="N327" s="13">
        <f t="shared" si="28"/>
        <v>7900</v>
      </c>
      <c r="O327" s="17">
        <f t="shared" si="32"/>
        <v>2.4664902436857213E+26</v>
      </c>
      <c r="Q327" s="5">
        <f t="shared" si="29"/>
        <v>-158</v>
      </c>
      <c r="R327" s="16">
        <f t="shared" si="30"/>
        <v>0.158</v>
      </c>
    </row>
    <row r="328" spans="11:18" x14ac:dyDescent="0.3">
      <c r="K328" s="5">
        <v>317</v>
      </c>
      <c r="L328" s="11">
        <f t="shared" si="27"/>
        <v>2.3772032968642979E+30</v>
      </c>
      <c r="M328" s="11">
        <f t="shared" si="31"/>
        <v>1.0805469531201359E+31</v>
      </c>
      <c r="N328" s="13">
        <f t="shared" si="28"/>
        <v>7925</v>
      </c>
      <c r="O328" s="17">
        <f t="shared" si="32"/>
        <v>2.9996256111852339E+26</v>
      </c>
      <c r="Q328" s="5">
        <f t="shared" si="29"/>
        <v>-158.5</v>
      </c>
      <c r="R328" s="16">
        <f t="shared" si="30"/>
        <v>0.1585</v>
      </c>
    </row>
    <row r="329" spans="11:18" x14ac:dyDescent="0.3">
      <c r="K329" s="5">
        <v>318</v>
      </c>
      <c r="L329" s="11">
        <f t="shared" si="27"/>
        <v>2.9001880221744435E+30</v>
      </c>
      <c r="M329" s="11">
        <f t="shared" si="31"/>
        <v>1.3182672828065657E+31</v>
      </c>
      <c r="N329" s="13">
        <f t="shared" si="28"/>
        <v>7950</v>
      </c>
      <c r="O329" s="17">
        <f t="shared" si="32"/>
        <v>3.6480352480181677E+26</v>
      </c>
      <c r="Q329" s="5">
        <f t="shared" si="29"/>
        <v>-159</v>
      </c>
      <c r="R329" s="16">
        <f t="shared" si="30"/>
        <v>0.159</v>
      </c>
    </row>
    <row r="330" spans="11:18" x14ac:dyDescent="0.3">
      <c r="K330" s="5">
        <v>319</v>
      </c>
      <c r="L330" s="11">
        <f t="shared" si="27"/>
        <v>3.5382293870528212E+30</v>
      </c>
      <c r="M330" s="11">
        <f t="shared" si="31"/>
        <v>1.6082860850240099E+31</v>
      </c>
      <c r="N330" s="13">
        <f t="shared" si="28"/>
        <v>7975</v>
      </c>
      <c r="O330" s="17">
        <f t="shared" si="32"/>
        <v>4.4366512690317506E+26</v>
      </c>
      <c r="Q330" s="5">
        <f t="shared" si="29"/>
        <v>-159.5</v>
      </c>
      <c r="R330" s="16">
        <f t="shared" si="30"/>
        <v>0.1595</v>
      </c>
    </row>
    <row r="331" spans="11:18" x14ac:dyDescent="0.3">
      <c r="K331" s="5">
        <v>320</v>
      </c>
      <c r="L331" s="11">
        <f t="shared" si="27"/>
        <v>4.3166398522044409E+30</v>
      </c>
      <c r="M331" s="11">
        <f t="shared" si="31"/>
        <v>1.9621090237292921E+31</v>
      </c>
      <c r="N331" s="13">
        <f t="shared" si="28"/>
        <v>8000</v>
      </c>
      <c r="O331" s="17">
        <f t="shared" si="32"/>
        <v>5.3957998152555511E+26</v>
      </c>
      <c r="Q331" s="5">
        <f t="shared" si="29"/>
        <v>-160</v>
      </c>
      <c r="R331" s="16">
        <f t="shared" si="30"/>
        <v>0.16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3880-90E2-4846-B59B-525833426C88}">
  <dimension ref="D2:R331"/>
  <sheetViews>
    <sheetView workbookViewId="0">
      <selection activeCell="H18" sqref="H18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style="13" customWidth="1"/>
    <col min="15" max="15" width="24.33203125" customWidth="1"/>
  </cols>
  <sheetData>
    <row r="2" spans="4:18" x14ac:dyDescent="0.3">
      <c r="H2" s="4"/>
    </row>
    <row r="3" spans="4:18" x14ac:dyDescent="0.3">
      <c r="H3" s="4"/>
      <c r="I3" t="s">
        <v>42</v>
      </c>
    </row>
    <row r="4" spans="4:18" x14ac:dyDescent="0.3">
      <c r="H4" s="4"/>
    </row>
    <row r="5" spans="4:18" x14ac:dyDescent="0.3">
      <c r="H5" s="4" t="s">
        <v>30</v>
      </c>
    </row>
    <row r="6" spans="4:18" x14ac:dyDescent="0.3">
      <c r="H6" s="4" t="s">
        <v>31</v>
      </c>
      <c r="I6">
        <v>5000</v>
      </c>
    </row>
    <row r="7" spans="4:18" x14ac:dyDescent="0.3">
      <c r="H7" s="4" t="s">
        <v>32</v>
      </c>
      <c r="I7">
        <v>1.22</v>
      </c>
    </row>
    <row r="8" spans="4:18" x14ac:dyDescent="0.3">
      <c r="H8" s="4" t="s">
        <v>39</v>
      </c>
      <c r="I8">
        <v>25</v>
      </c>
      <c r="N8" s="13" t="s">
        <v>44</v>
      </c>
    </row>
    <row r="9" spans="4:18" x14ac:dyDescent="0.3">
      <c r="H9" s="4"/>
    </row>
    <row r="10" spans="4:18" x14ac:dyDescent="0.3">
      <c r="H10" s="4" t="s">
        <v>40</v>
      </c>
      <c r="I10">
        <v>-1000</v>
      </c>
      <c r="K10" t="s">
        <v>33</v>
      </c>
      <c r="L10" t="s">
        <v>34</v>
      </c>
      <c r="M10" t="s">
        <v>35</v>
      </c>
      <c r="N10" s="14" t="s">
        <v>36</v>
      </c>
      <c r="O10" t="s">
        <v>37</v>
      </c>
      <c r="Q10" t="s">
        <v>38</v>
      </c>
      <c r="R10" t="s">
        <v>45</v>
      </c>
    </row>
    <row r="11" spans="4:18" x14ac:dyDescent="0.3">
      <c r="H11" s="4" t="s">
        <v>41</v>
      </c>
      <c r="I11">
        <v>0.625</v>
      </c>
      <c r="K11">
        <v>0</v>
      </c>
      <c r="L11" s="6">
        <f>$I$6*($I$7^K11)</f>
        <v>5000</v>
      </c>
      <c r="N11" s="13">
        <f>K11*$I$8</f>
        <v>0</v>
      </c>
      <c r="O11" t="e">
        <f>L11/N11</f>
        <v>#DIV/0!</v>
      </c>
      <c r="Q11">
        <f>K11*$I$11</f>
        <v>0</v>
      </c>
      <c r="R11">
        <f>K11*$I$12</f>
        <v>0</v>
      </c>
    </row>
    <row r="12" spans="4:18" x14ac:dyDescent="0.3">
      <c r="H12" s="4" t="s">
        <v>11</v>
      </c>
      <c r="I12">
        <v>0.25</v>
      </c>
      <c r="K12">
        <v>1</v>
      </c>
      <c r="L12" s="6">
        <f t="shared" ref="L12:L75" si="0">$I$6*($I$7^K12)</f>
        <v>6100</v>
      </c>
      <c r="N12" s="13">
        <f t="shared" ref="N12:N75" si="1">K12*$I$8</f>
        <v>25</v>
      </c>
      <c r="O12">
        <f t="shared" ref="O12:O74" si="2">L12/N12</f>
        <v>244</v>
      </c>
      <c r="Q12">
        <f t="shared" ref="Q12:Q75" si="3">K12*$I$11</f>
        <v>0.625</v>
      </c>
      <c r="R12">
        <f t="shared" ref="R12:R75" si="4">K12*$I$12</f>
        <v>0.25</v>
      </c>
    </row>
    <row r="13" spans="4:18" x14ac:dyDescent="0.3">
      <c r="D13" t="s">
        <v>6</v>
      </c>
      <c r="H13" s="4"/>
      <c r="K13">
        <v>2</v>
      </c>
      <c r="L13" s="6">
        <f t="shared" si="0"/>
        <v>7442</v>
      </c>
      <c r="N13" s="13">
        <f t="shared" si="1"/>
        <v>50</v>
      </c>
      <c r="O13">
        <f t="shared" si="2"/>
        <v>148.84</v>
      </c>
      <c r="Q13">
        <f t="shared" si="3"/>
        <v>1.25</v>
      </c>
      <c r="R13">
        <f t="shared" si="4"/>
        <v>0.5</v>
      </c>
    </row>
    <row r="14" spans="4:18" x14ac:dyDescent="0.3">
      <c r="H14" s="4"/>
      <c r="K14">
        <v>3</v>
      </c>
      <c r="L14" s="6">
        <f t="shared" si="0"/>
        <v>9079.24</v>
      </c>
      <c r="N14" s="13">
        <f t="shared" si="1"/>
        <v>75</v>
      </c>
      <c r="O14">
        <f t="shared" si="2"/>
        <v>121.05653333333333</v>
      </c>
      <c r="Q14">
        <f t="shared" si="3"/>
        <v>1.875</v>
      </c>
      <c r="R14">
        <f t="shared" si="4"/>
        <v>0.75</v>
      </c>
    </row>
    <row r="15" spans="4:18" x14ac:dyDescent="0.3">
      <c r="D15">
        <v>-1000</v>
      </c>
      <c r="H15" s="4"/>
      <c r="K15">
        <v>4</v>
      </c>
      <c r="L15" s="6">
        <f t="shared" si="0"/>
        <v>11076.672799999998</v>
      </c>
      <c r="N15" s="13">
        <f t="shared" si="1"/>
        <v>100</v>
      </c>
      <c r="O15">
        <f t="shared" si="2"/>
        <v>110.76672799999999</v>
      </c>
      <c r="Q15">
        <f t="shared" si="3"/>
        <v>2.5</v>
      </c>
      <c r="R15">
        <f t="shared" si="4"/>
        <v>1</v>
      </c>
    </row>
    <row r="16" spans="4:18" x14ac:dyDescent="0.3">
      <c r="D16">
        <v>0.625</v>
      </c>
      <c r="H16" s="4"/>
      <c r="K16">
        <v>5</v>
      </c>
      <c r="L16" s="6">
        <f t="shared" si="0"/>
        <v>13513.540815999999</v>
      </c>
      <c r="N16" s="13">
        <f t="shared" si="1"/>
        <v>125</v>
      </c>
      <c r="O16">
        <f t="shared" si="2"/>
        <v>108.10832652799999</v>
      </c>
      <c r="Q16">
        <f t="shared" si="3"/>
        <v>3.125</v>
      </c>
      <c r="R16">
        <f t="shared" si="4"/>
        <v>1.25</v>
      </c>
    </row>
    <row r="17" spans="4:18" x14ac:dyDescent="0.3">
      <c r="D17">
        <v>0.25</v>
      </c>
      <c r="H17" s="4"/>
      <c r="K17">
        <v>6</v>
      </c>
      <c r="L17" s="6">
        <f t="shared" si="0"/>
        <v>16486.519795519995</v>
      </c>
      <c r="N17" s="13">
        <f t="shared" si="1"/>
        <v>150</v>
      </c>
      <c r="O17">
        <f t="shared" si="2"/>
        <v>109.91013197013329</v>
      </c>
      <c r="Q17">
        <f t="shared" si="3"/>
        <v>3.75</v>
      </c>
      <c r="R17">
        <f t="shared" si="4"/>
        <v>1.5</v>
      </c>
    </row>
    <row r="18" spans="4:18" x14ac:dyDescent="0.3">
      <c r="H18" s="4"/>
      <c r="K18">
        <v>7</v>
      </c>
      <c r="L18" s="6">
        <f t="shared" si="0"/>
        <v>20113.554150534397</v>
      </c>
      <c r="N18" s="13">
        <f t="shared" si="1"/>
        <v>175</v>
      </c>
      <c r="O18">
        <f t="shared" si="2"/>
        <v>114.93459514591085</v>
      </c>
      <c r="Q18">
        <f t="shared" si="3"/>
        <v>4.375</v>
      </c>
      <c r="R18">
        <f t="shared" si="4"/>
        <v>1.75</v>
      </c>
    </row>
    <row r="19" spans="4:18" x14ac:dyDescent="0.3">
      <c r="H19" s="4"/>
      <c r="K19">
        <v>8</v>
      </c>
      <c r="L19" s="6">
        <f t="shared" si="0"/>
        <v>24538.536063651958</v>
      </c>
      <c r="N19" s="13">
        <f t="shared" si="1"/>
        <v>200</v>
      </c>
      <c r="O19">
        <f t="shared" si="2"/>
        <v>122.69268031825979</v>
      </c>
      <c r="Q19">
        <f t="shared" si="3"/>
        <v>5</v>
      </c>
      <c r="R19">
        <f t="shared" si="4"/>
        <v>2</v>
      </c>
    </row>
    <row r="20" spans="4:18" x14ac:dyDescent="0.3">
      <c r="H20" s="4"/>
      <c r="K20">
        <v>9</v>
      </c>
      <c r="L20" s="6">
        <f t="shared" si="0"/>
        <v>29937.013997655391</v>
      </c>
      <c r="N20" s="13">
        <f t="shared" si="1"/>
        <v>225</v>
      </c>
      <c r="O20">
        <f t="shared" si="2"/>
        <v>133.05339554513506</v>
      </c>
      <c r="Q20">
        <f t="shared" si="3"/>
        <v>5.625</v>
      </c>
      <c r="R20">
        <f t="shared" si="4"/>
        <v>2.25</v>
      </c>
    </row>
    <row r="21" spans="4:18" x14ac:dyDescent="0.3">
      <c r="H21" s="4"/>
      <c r="K21">
        <v>10</v>
      </c>
      <c r="L21" s="6">
        <f t="shared" si="0"/>
        <v>36523.157077139571</v>
      </c>
      <c r="N21" s="13">
        <f t="shared" si="1"/>
        <v>250</v>
      </c>
      <c r="O21">
        <f t="shared" si="2"/>
        <v>146.09262830855829</v>
      </c>
      <c r="Q21">
        <f t="shared" si="3"/>
        <v>6.25</v>
      </c>
      <c r="R21">
        <f t="shared" si="4"/>
        <v>2.5</v>
      </c>
    </row>
    <row r="22" spans="4:18" x14ac:dyDescent="0.3">
      <c r="H22" s="4"/>
      <c r="K22">
        <v>11</v>
      </c>
      <c r="L22" s="6">
        <f t="shared" si="0"/>
        <v>44558.251634110275</v>
      </c>
      <c r="N22" s="13">
        <f t="shared" si="1"/>
        <v>275</v>
      </c>
      <c r="O22">
        <f>L22/N22</f>
        <v>162.03000594221919</v>
      </c>
      <c r="Q22">
        <f t="shared" si="3"/>
        <v>6.875</v>
      </c>
      <c r="R22">
        <f t="shared" si="4"/>
        <v>2.75</v>
      </c>
    </row>
    <row r="23" spans="4:18" x14ac:dyDescent="0.3">
      <c r="D23" s="2"/>
      <c r="H23" s="4"/>
      <c r="K23">
        <v>12</v>
      </c>
      <c r="L23" s="6">
        <f t="shared" si="0"/>
        <v>54361.066993614535</v>
      </c>
      <c r="N23" s="13">
        <f t="shared" si="1"/>
        <v>300</v>
      </c>
      <c r="O23">
        <f t="shared" si="2"/>
        <v>181.20355664538178</v>
      </c>
      <c r="Q23">
        <f t="shared" si="3"/>
        <v>7.5</v>
      </c>
      <c r="R23">
        <f t="shared" si="4"/>
        <v>3</v>
      </c>
    </row>
    <row r="24" spans="4:18" x14ac:dyDescent="0.3">
      <c r="D24" s="2"/>
      <c r="H24" s="4"/>
      <c r="K24">
        <v>13</v>
      </c>
      <c r="L24" s="6">
        <f t="shared" si="0"/>
        <v>66320.501732209726</v>
      </c>
      <c r="N24" s="13">
        <f t="shared" si="1"/>
        <v>325</v>
      </c>
      <c r="O24">
        <f t="shared" si="2"/>
        <v>204.063082252953</v>
      </c>
      <c r="Q24">
        <f t="shared" si="3"/>
        <v>8.125</v>
      </c>
      <c r="R24">
        <f t="shared" si="4"/>
        <v>3.25</v>
      </c>
    </row>
    <row r="25" spans="4:18" x14ac:dyDescent="0.3">
      <c r="D25" s="2"/>
      <c r="H25" s="4"/>
      <c r="K25">
        <v>14</v>
      </c>
      <c r="L25" s="6">
        <f t="shared" si="0"/>
        <v>80911.012113295874</v>
      </c>
      <c r="N25" s="13">
        <f t="shared" si="1"/>
        <v>350</v>
      </c>
      <c r="O25">
        <f t="shared" si="2"/>
        <v>231.17432032370249</v>
      </c>
      <c r="Q25">
        <f t="shared" si="3"/>
        <v>8.75</v>
      </c>
      <c r="R25">
        <f t="shared" si="4"/>
        <v>3.5</v>
      </c>
    </row>
    <row r="26" spans="4:18" x14ac:dyDescent="0.3">
      <c r="H26" s="4"/>
      <c r="K26">
        <v>15</v>
      </c>
      <c r="L26" s="6">
        <f t="shared" si="0"/>
        <v>98711.434778220966</v>
      </c>
      <c r="N26" s="13">
        <f t="shared" si="1"/>
        <v>375</v>
      </c>
      <c r="O26">
        <f t="shared" si="2"/>
        <v>263.2304927419226</v>
      </c>
      <c r="Q26">
        <f t="shared" si="3"/>
        <v>9.375</v>
      </c>
      <c r="R26">
        <f t="shared" si="4"/>
        <v>3.75</v>
      </c>
    </row>
    <row r="27" spans="4:18" x14ac:dyDescent="0.3">
      <c r="H27" s="4"/>
      <c r="K27">
        <v>16</v>
      </c>
      <c r="L27" s="6">
        <f t="shared" si="0"/>
        <v>120427.95042942956</v>
      </c>
      <c r="N27" s="13">
        <f t="shared" si="1"/>
        <v>400</v>
      </c>
      <c r="O27">
        <f t="shared" si="2"/>
        <v>301.06987607357388</v>
      </c>
      <c r="Q27">
        <f t="shared" si="3"/>
        <v>10</v>
      </c>
      <c r="R27">
        <f t="shared" si="4"/>
        <v>4</v>
      </c>
    </row>
    <row r="28" spans="4:18" x14ac:dyDescent="0.3">
      <c r="H28" s="4"/>
      <c r="K28">
        <v>17</v>
      </c>
      <c r="L28" s="6">
        <f t="shared" si="0"/>
        <v>146922.09952390403</v>
      </c>
      <c r="N28" s="13">
        <f t="shared" si="1"/>
        <v>425</v>
      </c>
      <c r="O28">
        <f t="shared" si="2"/>
        <v>345.69905770330359</v>
      </c>
      <c r="Q28">
        <f t="shared" si="3"/>
        <v>10.625</v>
      </c>
      <c r="R28">
        <f t="shared" si="4"/>
        <v>4.25</v>
      </c>
    </row>
    <row r="29" spans="4:18" x14ac:dyDescent="0.3">
      <c r="H29" s="4"/>
      <c r="K29">
        <v>18</v>
      </c>
      <c r="L29" s="6">
        <f t="shared" si="0"/>
        <v>179244.96141916292</v>
      </c>
      <c r="N29" s="13">
        <f t="shared" si="1"/>
        <v>450</v>
      </c>
      <c r="O29">
        <f t="shared" si="2"/>
        <v>398.32213648702873</v>
      </c>
      <c r="Q29">
        <f t="shared" si="3"/>
        <v>11.25</v>
      </c>
      <c r="R29">
        <f t="shared" si="4"/>
        <v>4.5</v>
      </c>
    </row>
    <row r="30" spans="4:18" x14ac:dyDescent="0.3">
      <c r="H30" s="4"/>
      <c r="K30">
        <v>19</v>
      </c>
      <c r="L30" s="6">
        <f t="shared" si="0"/>
        <v>218678.85293137879</v>
      </c>
      <c r="N30" s="13">
        <f t="shared" si="1"/>
        <v>475</v>
      </c>
      <c r="O30">
        <f t="shared" si="2"/>
        <v>460.37653248711325</v>
      </c>
      <c r="Q30">
        <f t="shared" si="3"/>
        <v>11.875</v>
      </c>
      <c r="R30">
        <f t="shared" si="4"/>
        <v>4.75</v>
      </c>
    </row>
    <row r="31" spans="4:18" x14ac:dyDescent="0.3">
      <c r="H31" s="4"/>
      <c r="K31">
        <v>20</v>
      </c>
      <c r="L31" s="6">
        <f t="shared" si="0"/>
        <v>266788.20057628211</v>
      </c>
      <c r="N31" s="13">
        <f t="shared" si="1"/>
        <v>500</v>
      </c>
      <c r="O31">
        <f>L31/N31</f>
        <v>533.57640115256424</v>
      </c>
      <c r="Q31">
        <f t="shared" si="3"/>
        <v>12.5</v>
      </c>
      <c r="R31">
        <f t="shared" si="4"/>
        <v>5</v>
      </c>
    </row>
    <row r="32" spans="4:18" x14ac:dyDescent="0.3">
      <c r="H32" s="4"/>
      <c r="K32">
        <v>21</v>
      </c>
      <c r="L32" s="6">
        <f t="shared" si="0"/>
        <v>325481.60470306413</v>
      </c>
      <c r="N32" s="13">
        <f t="shared" si="1"/>
        <v>525</v>
      </c>
      <c r="O32">
        <f t="shared" si="2"/>
        <v>619.9649613391698</v>
      </c>
      <c r="Q32">
        <f t="shared" si="3"/>
        <v>13.125</v>
      </c>
      <c r="R32">
        <f t="shared" si="4"/>
        <v>5.25</v>
      </c>
    </row>
    <row r="33" spans="4:18" x14ac:dyDescent="0.3">
      <c r="D33" s="4" t="s">
        <v>9</v>
      </c>
      <c r="H33" s="4"/>
      <c r="K33">
        <v>22</v>
      </c>
      <c r="L33" s="6">
        <f t="shared" si="0"/>
        <v>397087.55773773824</v>
      </c>
      <c r="N33" s="13">
        <f t="shared" si="1"/>
        <v>550</v>
      </c>
      <c r="O33">
        <f t="shared" si="2"/>
        <v>721.97737770497861</v>
      </c>
      <c r="Q33">
        <f t="shared" si="3"/>
        <v>13.75</v>
      </c>
      <c r="R33">
        <f t="shared" si="4"/>
        <v>5.5</v>
      </c>
    </row>
    <row r="34" spans="4:18" x14ac:dyDescent="0.3">
      <c r="H34" s="4"/>
      <c r="K34">
        <v>23</v>
      </c>
      <c r="L34" s="6">
        <f t="shared" si="0"/>
        <v>484446.82044004067</v>
      </c>
      <c r="N34" s="13">
        <f t="shared" si="1"/>
        <v>575</v>
      </c>
      <c r="O34">
        <f t="shared" si="2"/>
        <v>842.51620946094033</v>
      </c>
      <c r="Q34">
        <f t="shared" si="3"/>
        <v>14.375</v>
      </c>
      <c r="R34">
        <f t="shared" si="4"/>
        <v>5.75</v>
      </c>
    </row>
    <row r="35" spans="4:18" x14ac:dyDescent="0.3">
      <c r="D35">
        <v>5000</v>
      </c>
      <c r="K35">
        <v>24</v>
      </c>
      <c r="L35" s="6">
        <f t="shared" si="0"/>
        <v>591025.1209368495</v>
      </c>
      <c r="N35" s="13">
        <f t="shared" si="1"/>
        <v>600</v>
      </c>
      <c r="O35">
        <f t="shared" si="2"/>
        <v>985.04186822808254</v>
      </c>
      <c r="Q35">
        <f t="shared" si="3"/>
        <v>15</v>
      </c>
      <c r="R35">
        <f t="shared" si="4"/>
        <v>6</v>
      </c>
    </row>
    <row r="36" spans="4:18" x14ac:dyDescent="0.3">
      <c r="D36">
        <v>5000</v>
      </c>
      <c r="K36">
        <v>25</v>
      </c>
      <c r="L36" s="6">
        <f t="shared" si="0"/>
        <v>721050.6475429564</v>
      </c>
      <c r="N36" s="13">
        <f t="shared" si="1"/>
        <v>625</v>
      </c>
      <c r="O36">
        <f t="shared" si="2"/>
        <v>1153.6810360687302</v>
      </c>
      <c r="Q36">
        <f t="shared" si="3"/>
        <v>15.625</v>
      </c>
      <c r="R36">
        <f t="shared" si="4"/>
        <v>6.25</v>
      </c>
    </row>
    <row r="37" spans="4:18" x14ac:dyDescent="0.3">
      <c r="D37">
        <v>1.22</v>
      </c>
      <c r="K37">
        <v>26</v>
      </c>
      <c r="L37" s="6">
        <f t="shared" si="0"/>
        <v>879681.79000240681</v>
      </c>
      <c r="N37" s="13">
        <f t="shared" si="1"/>
        <v>650</v>
      </c>
      <c r="O37">
        <f t="shared" si="2"/>
        <v>1353.3566000037029</v>
      </c>
      <c r="Q37">
        <f t="shared" si="3"/>
        <v>16.25</v>
      </c>
      <c r="R37">
        <f t="shared" si="4"/>
        <v>6.5</v>
      </c>
    </row>
    <row r="38" spans="4:18" x14ac:dyDescent="0.3">
      <c r="K38">
        <v>27</v>
      </c>
      <c r="L38" s="6">
        <f t="shared" si="0"/>
        <v>1073211.7838029361</v>
      </c>
      <c r="N38" s="13">
        <f t="shared" si="1"/>
        <v>675</v>
      </c>
      <c r="O38">
        <f t="shared" si="2"/>
        <v>1589.9433834117572</v>
      </c>
      <c r="Q38">
        <f t="shared" si="3"/>
        <v>16.875</v>
      </c>
      <c r="R38">
        <f t="shared" si="4"/>
        <v>6.75</v>
      </c>
    </row>
    <row r="39" spans="4:18" x14ac:dyDescent="0.3">
      <c r="K39">
        <v>28</v>
      </c>
      <c r="L39" s="6">
        <f t="shared" si="0"/>
        <v>1309318.3762395822</v>
      </c>
      <c r="N39" s="13">
        <f t="shared" si="1"/>
        <v>700</v>
      </c>
      <c r="O39">
        <f t="shared" si="2"/>
        <v>1870.4548231994031</v>
      </c>
      <c r="Q39">
        <f t="shared" si="3"/>
        <v>17.5</v>
      </c>
      <c r="R39">
        <f t="shared" si="4"/>
        <v>7</v>
      </c>
    </row>
    <row r="40" spans="4:18" x14ac:dyDescent="0.3">
      <c r="D40" t="s">
        <v>22</v>
      </c>
      <c r="K40">
        <v>29</v>
      </c>
      <c r="L40" s="6">
        <f t="shared" si="0"/>
        <v>1597368.4190122902</v>
      </c>
      <c r="N40" s="13">
        <f t="shared" si="1"/>
        <v>725</v>
      </c>
      <c r="O40">
        <f t="shared" si="2"/>
        <v>2203.2667848445381</v>
      </c>
      <c r="Q40">
        <f t="shared" si="3"/>
        <v>18.125</v>
      </c>
      <c r="R40">
        <f t="shared" si="4"/>
        <v>7.25</v>
      </c>
    </row>
    <row r="41" spans="4:18" x14ac:dyDescent="0.3">
      <c r="D41" t="s">
        <v>25</v>
      </c>
      <c r="K41">
        <v>30</v>
      </c>
      <c r="L41" s="6">
        <f t="shared" si="0"/>
        <v>1948789.4711949937</v>
      </c>
      <c r="N41" s="13">
        <f t="shared" si="1"/>
        <v>750</v>
      </c>
      <c r="O41">
        <f t="shared" si="2"/>
        <v>2598.3859615933247</v>
      </c>
      <c r="Q41">
        <f t="shared" si="3"/>
        <v>18.75</v>
      </c>
      <c r="R41">
        <f t="shared" si="4"/>
        <v>7.5</v>
      </c>
    </row>
    <row r="42" spans="4:18" x14ac:dyDescent="0.3">
      <c r="D42" t="s">
        <v>27</v>
      </c>
      <c r="K42">
        <v>31</v>
      </c>
      <c r="L42" s="6">
        <f t="shared" si="0"/>
        <v>2377523.1548578925</v>
      </c>
      <c r="N42" s="13">
        <f t="shared" si="1"/>
        <v>775</v>
      </c>
      <c r="O42">
        <f>L42/N42</f>
        <v>3067.7718127198614</v>
      </c>
      <c r="Q42">
        <f t="shared" si="3"/>
        <v>19.375</v>
      </c>
      <c r="R42">
        <f t="shared" si="4"/>
        <v>7.75</v>
      </c>
    </row>
    <row r="43" spans="4:18" x14ac:dyDescent="0.3">
      <c r="K43">
        <v>32</v>
      </c>
      <c r="L43" s="6">
        <f t="shared" si="0"/>
        <v>2900578.2489266284</v>
      </c>
      <c r="N43" s="13">
        <f t="shared" si="1"/>
        <v>800</v>
      </c>
      <c r="O43">
        <f t="shared" si="2"/>
        <v>3625.7228111582854</v>
      </c>
      <c r="Q43">
        <f t="shared" si="3"/>
        <v>20</v>
      </c>
      <c r="R43">
        <f t="shared" si="4"/>
        <v>8</v>
      </c>
    </row>
    <row r="44" spans="4:18" x14ac:dyDescent="0.3">
      <c r="K44">
        <v>33</v>
      </c>
      <c r="L44" s="6">
        <f t="shared" si="0"/>
        <v>3538705.4636904867</v>
      </c>
      <c r="N44" s="13">
        <f t="shared" si="1"/>
        <v>825</v>
      </c>
      <c r="O44">
        <f t="shared" si="2"/>
        <v>4289.3399559884683</v>
      </c>
      <c r="Q44">
        <f t="shared" si="3"/>
        <v>20.625</v>
      </c>
      <c r="R44">
        <f t="shared" si="4"/>
        <v>8.25</v>
      </c>
    </row>
    <row r="45" spans="4:18" x14ac:dyDescent="0.3">
      <c r="K45">
        <v>34</v>
      </c>
      <c r="L45" s="6">
        <f t="shared" si="0"/>
        <v>4317220.6657023933</v>
      </c>
      <c r="N45" s="13">
        <f t="shared" si="1"/>
        <v>850</v>
      </c>
      <c r="O45">
        <f t="shared" si="2"/>
        <v>5079.0831361204628</v>
      </c>
      <c r="Q45">
        <f t="shared" si="3"/>
        <v>21.25</v>
      </c>
      <c r="R45">
        <f t="shared" si="4"/>
        <v>8.5</v>
      </c>
    </row>
    <row r="46" spans="4:18" x14ac:dyDescent="0.3">
      <c r="K46">
        <v>35</v>
      </c>
      <c r="L46" s="6">
        <f t="shared" si="0"/>
        <v>5267009.2121569198</v>
      </c>
      <c r="N46" s="13">
        <f t="shared" si="1"/>
        <v>875</v>
      </c>
      <c r="O46">
        <f t="shared" si="2"/>
        <v>6019.4390996079082</v>
      </c>
      <c r="Q46">
        <f t="shared" si="3"/>
        <v>21.875</v>
      </c>
      <c r="R46">
        <f t="shared" si="4"/>
        <v>8.75</v>
      </c>
    </row>
    <row r="47" spans="4:18" x14ac:dyDescent="0.3">
      <c r="K47">
        <v>36</v>
      </c>
      <c r="L47" s="6">
        <f t="shared" si="0"/>
        <v>6425751.2388314418</v>
      </c>
      <c r="N47" s="13">
        <f t="shared" si="1"/>
        <v>900</v>
      </c>
      <c r="O47">
        <f t="shared" si="2"/>
        <v>7139.723598701602</v>
      </c>
      <c r="Q47">
        <f t="shared" si="3"/>
        <v>22.5</v>
      </c>
      <c r="R47">
        <f t="shared" si="4"/>
        <v>9</v>
      </c>
    </row>
    <row r="48" spans="4:18" x14ac:dyDescent="0.3">
      <c r="K48">
        <v>37</v>
      </c>
      <c r="L48" s="6">
        <f t="shared" si="0"/>
        <v>7839416.511374359</v>
      </c>
      <c r="N48" s="13">
        <f t="shared" si="1"/>
        <v>925</v>
      </c>
      <c r="O48">
        <f t="shared" si="2"/>
        <v>8475.0448771614683</v>
      </c>
      <c r="Q48">
        <f t="shared" si="3"/>
        <v>23.125</v>
      </c>
      <c r="R48">
        <f t="shared" si="4"/>
        <v>9.25</v>
      </c>
    </row>
    <row r="49" spans="11:18" x14ac:dyDescent="0.3">
      <c r="K49">
        <v>38</v>
      </c>
      <c r="L49" s="6">
        <f t="shared" si="0"/>
        <v>9564088.1438767165</v>
      </c>
      <c r="N49" s="13">
        <f t="shared" si="1"/>
        <v>950</v>
      </c>
      <c r="O49">
        <f>L49/N49</f>
        <v>10067.461204080753</v>
      </c>
      <c r="Q49">
        <f t="shared" si="3"/>
        <v>23.75</v>
      </c>
      <c r="R49">
        <f t="shared" si="4"/>
        <v>9.5</v>
      </c>
    </row>
    <row r="50" spans="11:18" x14ac:dyDescent="0.3">
      <c r="K50">
        <v>39</v>
      </c>
      <c r="L50" s="6">
        <f t="shared" si="0"/>
        <v>11668187.535529597</v>
      </c>
      <c r="N50" s="13">
        <f t="shared" si="1"/>
        <v>975</v>
      </c>
      <c r="O50">
        <f t="shared" si="2"/>
        <v>11967.371831312406</v>
      </c>
      <c r="Q50">
        <f t="shared" si="3"/>
        <v>24.375</v>
      </c>
      <c r="R50">
        <f t="shared" si="4"/>
        <v>9.75</v>
      </c>
    </row>
    <row r="51" spans="11:18" x14ac:dyDescent="0.3">
      <c r="K51">
        <v>40</v>
      </c>
      <c r="L51" s="6">
        <f t="shared" si="0"/>
        <v>14235188.793346103</v>
      </c>
      <c r="N51" s="13">
        <f t="shared" si="1"/>
        <v>1000</v>
      </c>
      <c r="O51">
        <f t="shared" si="2"/>
        <v>14235.188793346104</v>
      </c>
      <c r="Q51">
        <f t="shared" si="3"/>
        <v>25</v>
      </c>
      <c r="R51">
        <f t="shared" si="4"/>
        <v>10</v>
      </c>
    </row>
    <row r="52" spans="11:18" x14ac:dyDescent="0.3">
      <c r="K52">
        <v>41</v>
      </c>
      <c r="L52" s="6">
        <f t="shared" si="0"/>
        <v>17366930.327882245</v>
      </c>
      <c r="N52" s="13">
        <f t="shared" si="1"/>
        <v>1025</v>
      </c>
      <c r="O52">
        <f t="shared" si="2"/>
        <v>16943.346661348533</v>
      </c>
      <c r="Q52">
        <f t="shared" si="3"/>
        <v>25.625</v>
      </c>
      <c r="R52">
        <f t="shared" si="4"/>
        <v>10.25</v>
      </c>
    </row>
    <row r="53" spans="11:18" x14ac:dyDescent="0.3">
      <c r="K53">
        <v>42</v>
      </c>
      <c r="L53" s="6">
        <f t="shared" si="0"/>
        <v>21187655.000016339</v>
      </c>
      <c r="N53" s="13">
        <f t="shared" si="1"/>
        <v>1050</v>
      </c>
      <c r="O53">
        <f t="shared" si="2"/>
        <v>20178.719047634608</v>
      </c>
      <c r="Q53">
        <f t="shared" si="3"/>
        <v>26.25</v>
      </c>
      <c r="R53">
        <f t="shared" si="4"/>
        <v>10.5</v>
      </c>
    </row>
    <row r="54" spans="11:18" x14ac:dyDescent="0.3">
      <c r="K54">
        <v>43</v>
      </c>
      <c r="L54" s="6">
        <f t="shared" si="0"/>
        <v>25848939.100019936</v>
      </c>
      <c r="N54" s="13">
        <f t="shared" si="1"/>
        <v>1075</v>
      </c>
      <c r="O54">
        <f t="shared" si="2"/>
        <v>24045.524744204591</v>
      </c>
      <c r="Q54">
        <f t="shared" si="3"/>
        <v>26.875</v>
      </c>
      <c r="R54">
        <f t="shared" si="4"/>
        <v>10.75</v>
      </c>
    </row>
    <row r="55" spans="11:18" x14ac:dyDescent="0.3">
      <c r="K55">
        <v>44</v>
      </c>
      <c r="L55" s="6">
        <f t="shared" si="0"/>
        <v>31535705.702024315</v>
      </c>
      <c r="N55" s="13">
        <f t="shared" si="1"/>
        <v>1100</v>
      </c>
      <c r="O55">
        <f t="shared" si="2"/>
        <v>28668.823365476648</v>
      </c>
      <c r="Q55">
        <f t="shared" si="3"/>
        <v>27.5</v>
      </c>
      <c r="R55">
        <f t="shared" si="4"/>
        <v>11</v>
      </c>
    </row>
    <row r="56" spans="11:18" x14ac:dyDescent="0.3">
      <c r="K56">
        <v>45</v>
      </c>
      <c r="L56" s="6">
        <f t="shared" si="0"/>
        <v>38473560.956469662</v>
      </c>
      <c r="N56" s="13">
        <f t="shared" si="1"/>
        <v>1125</v>
      </c>
      <c r="O56">
        <f t="shared" si="2"/>
        <v>34198.720850195255</v>
      </c>
      <c r="Q56">
        <f t="shared" si="3"/>
        <v>28.125</v>
      </c>
      <c r="R56">
        <f t="shared" si="4"/>
        <v>11.25</v>
      </c>
    </row>
    <row r="57" spans="11:18" x14ac:dyDescent="0.3">
      <c r="K57">
        <v>46</v>
      </c>
      <c r="L57" s="6">
        <f t="shared" si="0"/>
        <v>46937744.366892986</v>
      </c>
      <c r="N57" s="13">
        <f t="shared" si="1"/>
        <v>1150</v>
      </c>
      <c r="O57">
        <f t="shared" si="2"/>
        <v>40815.429884254772</v>
      </c>
      <c r="Q57">
        <f t="shared" si="3"/>
        <v>28.75</v>
      </c>
      <c r="R57">
        <f t="shared" si="4"/>
        <v>11.5</v>
      </c>
    </row>
    <row r="58" spans="11:18" x14ac:dyDescent="0.3">
      <c r="K58">
        <v>47</v>
      </c>
      <c r="L58" s="6">
        <f t="shared" si="0"/>
        <v>57264048.127609447</v>
      </c>
      <c r="N58" s="13">
        <f t="shared" si="1"/>
        <v>1175</v>
      </c>
      <c r="O58">
        <f t="shared" si="2"/>
        <v>48735.360108603782</v>
      </c>
      <c r="Q58">
        <f t="shared" si="3"/>
        <v>29.375</v>
      </c>
      <c r="R58">
        <f t="shared" si="4"/>
        <v>11.75</v>
      </c>
    </row>
    <row r="59" spans="11:18" x14ac:dyDescent="0.3">
      <c r="K59">
        <v>48</v>
      </c>
      <c r="L59" s="6">
        <f t="shared" si="0"/>
        <v>69862138.71568352</v>
      </c>
      <c r="N59" s="13">
        <f t="shared" si="1"/>
        <v>1200</v>
      </c>
      <c r="O59">
        <f t="shared" si="2"/>
        <v>58218.448929736267</v>
      </c>
      <c r="Q59">
        <f t="shared" si="3"/>
        <v>30</v>
      </c>
      <c r="R59">
        <f t="shared" si="4"/>
        <v>12</v>
      </c>
    </row>
    <row r="60" spans="11:18" x14ac:dyDescent="0.3">
      <c r="K60">
        <v>49</v>
      </c>
      <c r="L60" s="6">
        <f t="shared" si="0"/>
        <v>85231809.233133882</v>
      </c>
      <c r="N60" s="13">
        <f t="shared" si="1"/>
        <v>1225</v>
      </c>
      <c r="O60">
        <f>L60/N60</f>
        <v>69576.987129088884</v>
      </c>
      <c r="Q60">
        <f t="shared" si="3"/>
        <v>30.625</v>
      </c>
      <c r="R60">
        <f t="shared" si="4"/>
        <v>12.25</v>
      </c>
    </row>
    <row r="61" spans="11:18" x14ac:dyDescent="0.3">
      <c r="K61">
        <v>50</v>
      </c>
      <c r="L61" s="6">
        <f t="shared" si="0"/>
        <v>103982807.26442334</v>
      </c>
      <c r="N61" s="13">
        <f t="shared" si="1"/>
        <v>1250</v>
      </c>
      <c r="O61">
        <f t="shared" si="2"/>
        <v>83186.245811538669</v>
      </c>
      <c r="Q61">
        <f t="shared" si="3"/>
        <v>31.25</v>
      </c>
      <c r="R61">
        <f t="shared" si="4"/>
        <v>12.5</v>
      </c>
    </row>
    <row r="62" spans="11:18" x14ac:dyDescent="0.3">
      <c r="K62">
        <v>51</v>
      </c>
      <c r="L62" s="6">
        <f t="shared" si="0"/>
        <v>126859024.86259647</v>
      </c>
      <c r="N62" s="13">
        <f t="shared" si="1"/>
        <v>1275</v>
      </c>
      <c r="O62">
        <f t="shared" si="2"/>
        <v>99497.274402036448</v>
      </c>
      <c r="Q62">
        <f t="shared" si="3"/>
        <v>31.875</v>
      </c>
      <c r="R62">
        <f t="shared" si="4"/>
        <v>12.75</v>
      </c>
    </row>
    <row r="63" spans="11:18" x14ac:dyDescent="0.3">
      <c r="K63">
        <v>52</v>
      </c>
      <c r="L63" s="6">
        <f t="shared" si="0"/>
        <v>154768010.33236766</v>
      </c>
      <c r="N63" s="13">
        <f t="shared" si="1"/>
        <v>1300</v>
      </c>
      <c r="O63">
        <f t="shared" si="2"/>
        <v>119052.31564028282</v>
      </c>
      <c r="Q63">
        <f t="shared" si="3"/>
        <v>32.5</v>
      </c>
      <c r="R63">
        <f t="shared" si="4"/>
        <v>13</v>
      </c>
    </row>
    <row r="64" spans="11:18" x14ac:dyDescent="0.3">
      <c r="K64">
        <v>53</v>
      </c>
      <c r="L64" s="6">
        <f t="shared" si="0"/>
        <v>188816972.60548857</v>
      </c>
      <c r="N64" s="13">
        <f t="shared" si="1"/>
        <v>1325</v>
      </c>
      <c r="O64">
        <f>L64/N64</f>
        <v>142503.37555131211</v>
      </c>
      <c r="Q64">
        <f t="shared" si="3"/>
        <v>33.125</v>
      </c>
      <c r="R64">
        <f t="shared" si="4"/>
        <v>13.25</v>
      </c>
    </row>
    <row r="65" spans="11:18" x14ac:dyDescent="0.3">
      <c r="K65">
        <v>54</v>
      </c>
      <c r="L65" s="6">
        <f t="shared" si="0"/>
        <v>230356706.57869604</v>
      </c>
      <c r="N65" s="13">
        <f t="shared" si="1"/>
        <v>1350</v>
      </c>
      <c r="O65">
        <f t="shared" si="2"/>
        <v>170634.59746570076</v>
      </c>
      <c r="Q65">
        <f t="shared" si="3"/>
        <v>33.75</v>
      </c>
      <c r="R65">
        <f t="shared" si="4"/>
        <v>13.5</v>
      </c>
    </row>
    <row r="66" spans="11:18" x14ac:dyDescent="0.3">
      <c r="K66">
        <v>55</v>
      </c>
      <c r="L66" s="6">
        <f t="shared" si="0"/>
        <v>281035182.0260092</v>
      </c>
      <c r="N66" s="13">
        <f t="shared" si="1"/>
        <v>1375</v>
      </c>
      <c r="O66">
        <f t="shared" si="2"/>
        <v>204389.22329164305</v>
      </c>
      <c r="Q66">
        <f t="shared" si="3"/>
        <v>34.375</v>
      </c>
      <c r="R66">
        <f t="shared" si="4"/>
        <v>13.75</v>
      </c>
    </row>
    <row r="67" spans="11:18" x14ac:dyDescent="0.3">
      <c r="K67">
        <v>56</v>
      </c>
      <c r="L67" s="6">
        <f t="shared" si="0"/>
        <v>342862922.07173115</v>
      </c>
      <c r="N67" s="13">
        <f t="shared" si="1"/>
        <v>1400</v>
      </c>
      <c r="O67">
        <f t="shared" si="2"/>
        <v>244902.08719409368</v>
      </c>
      <c r="Q67">
        <f t="shared" si="3"/>
        <v>35</v>
      </c>
      <c r="R67">
        <f t="shared" si="4"/>
        <v>14</v>
      </c>
    </row>
    <row r="68" spans="11:18" x14ac:dyDescent="0.3">
      <c r="K68">
        <v>57</v>
      </c>
      <c r="L68" s="6">
        <f t="shared" si="0"/>
        <v>418292764.92751199</v>
      </c>
      <c r="N68" s="13">
        <f t="shared" si="1"/>
        <v>1425</v>
      </c>
      <c r="O68">
        <f t="shared" si="2"/>
        <v>293538.78240527154</v>
      </c>
      <c r="Q68">
        <f t="shared" si="3"/>
        <v>35.625</v>
      </c>
      <c r="R68">
        <f t="shared" si="4"/>
        <v>14.25</v>
      </c>
    </row>
    <row r="69" spans="11:18" x14ac:dyDescent="0.3">
      <c r="K69">
        <v>58</v>
      </c>
      <c r="L69" s="6">
        <f t="shared" si="0"/>
        <v>510317173.21156466</v>
      </c>
      <c r="N69" s="13">
        <f t="shared" si="1"/>
        <v>1450</v>
      </c>
      <c r="O69">
        <f t="shared" si="2"/>
        <v>351942.87807694112</v>
      </c>
      <c r="Q69">
        <f t="shared" si="3"/>
        <v>36.25</v>
      </c>
      <c r="R69">
        <f t="shared" si="4"/>
        <v>14.5</v>
      </c>
    </row>
    <row r="70" spans="11:18" x14ac:dyDescent="0.3">
      <c r="K70">
        <v>59</v>
      </c>
      <c r="L70" s="6">
        <f t="shared" si="0"/>
        <v>622586951.3181088</v>
      </c>
      <c r="N70" s="13">
        <f t="shared" si="1"/>
        <v>1475</v>
      </c>
      <c r="O70">
        <f t="shared" si="2"/>
        <v>422092.84835126018</v>
      </c>
      <c r="Q70">
        <f t="shared" si="3"/>
        <v>36.875</v>
      </c>
      <c r="R70">
        <f t="shared" si="4"/>
        <v>14.75</v>
      </c>
    </row>
    <row r="71" spans="11:18" x14ac:dyDescent="0.3">
      <c r="K71">
        <v>60</v>
      </c>
      <c r="L71" s="6">
        <f t="shared" si="0"/>
        <v>759556080.60809278</v>
      </c>
      <c r="N71" s="13">
        <f t="shared" si="1"/>
        <v>1500</v>
      </c>
      <c r="O71">
        <f t="shared" si="2"/>
        <v>506370.7204053952</v>
      </c>
      <c r="Q71">
        <f t="shared" si="3"/>
        <v>37.5</v>
      </c>
      <c r="R71">
        <f t="shared" si="4"/>
        <v>15</v>
      </c>
    </row>
    <row r="72" spans="11:18" x14ac:dyDescent="0.3">
      <c r="K72">
        <v>61</v>
      </c>
      <c r="L72" s="6">
        <f t="shared" si="0"/>
        <v>926658418.34187305</v>
      </c>
      <c r="N72" s="13">
        <f t="shared" si="1"/>
        <v>1525</v>
      </c>
      <c r="O72">
        <f t="shared" si="2"/>
        <v>607644.86448647408</v>
      </c>
      <c r="Q72">
        <f t="shared" si="3"/>
        <v>38.125</v>
      </c>
      <c r="R72">
        <f t="shared" si="4"/>
        <v>15.25</v>
      </c>
    </row>
    <row r="73" spans="11:18" x14ac:dyDescent="0.3">
      <c r="K73">
        <v>62</v>
      </c>
      <c r="L73" s="6">
        <f t="shared" si="0"/>
        <v>1130523270.377085</v>
      </c>
      <c r="N73" s="13">
        <f t="shared" si="1"/>
        <v>1550</v>
      </c>
      <c r="O73">
        <f t="shared" si="2"/>
        <v>729369.85185618384</v>
      </c>
      <c r="Q73">
        <f t="shared" si="3"/>
        <v>38.75</v>
      </c>
      <c r="R73">
        <f t="shared" si="4"/>
        <v>15.5</v>
      </c>
    </row>
    <row r="74" spans="11:18" x14ac:dyDescent="0.3">
      <c r="K74">
        <v>63</v>
      </c>
      <c r="L74" s="6">
        <f t="shared" si="0"/>
        <v>1379238389.8600438</v>
      </c>
      <c r="N74" s="13">
        <f t="shared" si="1"/>
        <v>1575</v>
      </c>
      <c r="O74">
        <f t="shared" si="2"/>
        <v>875706.91419685318</v>
      </c>
      <c r="Q74">
        <f t="shared" si="3"/>
        <v>39.375</v>
      </c>
      <c r="R74">
        <f t="shared" si="4"/>
        <v>15.75</v>
      </c>
    </row>
    <row r="75" spans="11:18" x14ac:dyDescent="0.3">
      <c r="K75">
        <v>64</v>
      </c>
      <c r="L75" s="6">
        <f t="shared" si="0"/>
        <v>1682670835.6292531</v>
      </c>
      <c r="N75" s="13">
        <f t="shared" si="1"/>
        <v>1600</v>
      </c>
      <c r="O75">
        <f>L75/N75</f>
        <v>1051669.2722682832</v>
      </c>
      <c r="Q75">
        <f t="shared" si="3"/>
        <v>40</v>
      </c>
      <c r="R75">
        <f t="shared" si="4"/>
        <v>16</v>
      </c>
    </row>
    <row r="76" spans="11:18" x14ac:dyDescent="0.3">
      <c r="K76">
        <v>65</v>
      </c>
      <c r="L76" s="6">
        <f t="shared" ref="L76:L139" si="5">$I$6*($I$7^K76)</f>
        <v>2052858419.4676886</v>
      </c>
      <c r="N76" s="13">
        <f t="shared" ref="N76:N139" si="6">K76*$I$8</f>
        <v>1625</v>
      </c>
      <c r="O76">
        <f t="shared" ref="O76:O77" si="7">L76/N76</f>
        <v>1263297.488903193</v>
      </c>
      <c r="Q76">
        <f t="shared" ref="Q76:Q139" si="8">K76*$I$11</f>
        <v>40.625</v>
      </c>
      <c r="R76">
        <f t="shared" ref="R76:R139" si="9">K76*$I$12</f>
        <v>16.25</v>
      </c>
    </row>
    <row r="77" spans="11:18" x14ac:dyDescent="0.3">
      <c r="K77">
        <v>66</v>
      </c>
      <c r="L77" s="6">
        <f t="shared" si="5"/>
        <v>2504487271.7505803</v>
      </c>
      <c r="N77" s="13">
        <f t="shared" si="6"/>
        <v>1650</v>
      </c>
      <c r="O77">
        <f t="shared" si="7"/>
        <v>1517871.0737882305</v>
      </c>
      <c r="Q77">
        <f t="shared" si="8"/>
        <v>41.25</v>
      </c>
      <c r="R77">
        <f t="shared" si="9"/>
        <v>16.5</v>
      </c>
    </row>
    <row r="78" spans="11:18" x14ac:dyDescent="0.3">
      <c r="K78">
        <v>67</v>
      </c>
      <c r="L78" s="6">
        <f t="shared" si="5"/>
        <v>3055474471.5357075</v>
      </c>
      <c r="N78" s="13">
        <f t="shared" si="6"/>
        <v>1675</v>
      </c>
      <c r="O78">
        <f>L78/N78</f>
        <v>1824163.8636034075</v>
      </c>
      <c r="Q78">
        <f t="shared" si="8"/>
        <v>41.875</v>
      </c>
      <c r="R78">
        <f t="shared" si="9"/>
        <v>16.75</v>
      </c>
    </row>
    <row r="79" spans="11:18" x14ac:dyDescent="0.3">
      <c r="K79">
        <v>68</v>
      </c>
      <c r="L79" s="6">
        <f t="shared" si="5"/>
        <v>3727678855.2735629</v>
      </c>
      <c r="N79" s="13">
        <f t="shared" si="6"/>
        <v>1700</v>
      </c>
      <c r="O79">
        <f t="shared" ref="O79:O100" si="10">L79/N79</f>
        <v>2192752.2678079782</v>
      </c>
      <c r="Q79">
        <f t="shared" si="8"/>
        <v>42.5</v>
      </c>
      <c r="R79">
        <f t="shared" si="9"/>
        <v>17</v>
      </c>
    </row>
    <row r="80" spans="11:18" x14ac:dyDescent="0.3">
      <c r="K80">
        <v>69</v>
      </c>
      <c r="L80" s="6">
        <f t="shared" si="5"/>
        <v>4547768203.4337473</v>
      </c>
      <c r="N80" s="13">
        <f t="shared" si="6"/>
        <v>1725</v>
      </c>
      <c r="O80">
        <f t="shared" si="10"/>
        <v>2636387.3643094189</v>
      </c>
      <c r="Q80">
        <f t="shared" si="8"/>
        <v>43.125</v>
      </c>
      <c r="R80">
        <f t="shared" si="9"/>
        <v>17.25</v>
      </c>
    </row>
    <row r="81" spans="11:18" x14ac:dyDescent="0.3">
      <c r="K81">
        <v>70</v>
      </c>
      <c r="L81" s="6">
        <f t="shared" si="5"/>
        <v>5548277208.1891718</v>
      </c>
      <c r="N81" s="13">
        <f t="shared" si="6"/>
        <v>1750</v>
      </c>
      <c r="O81">
        <f t="shared" si="10"/>
        <v>3170444.1189652411</v>
      </c>
      <c r="Q81">
        <f t="shared" si="8"/>
        <v>43.75</v>
      </c>
      <c r="R81">
        <f t="shared" si="9"/>
        <v>17.5</v>
      </c>
    </row>
    <row r="82" spans="11:18" x14ac:dyDescent="0.3">
      <c r="K82">
        <v>71</v>
      </c>
      <c r="L82" s="6">
        <f t="shared" si="5"/>
        <v>6768898193.9907885</v>
      </c>
      <c r="N82" s="13">
        <f t="shared" si="6"/>
        <v>1775</v>
      </c>
      <c r="O82">
        <f t="shared" si="10"/>
        <v>3813463.7712624162</v>
      </c>
      <c r="Q82">
        <f t="shared" si="8"/>
        <v>44.375</v>
      </c>
      <c r="R82">
        <f t="shared" si="9"/>
        <v>17.75</v>
      </c>
    </row>
    <row r="83" spans="11:18" x14ac:dyDescent="0.3">
      <c r="K83">
        <v>72</v>
      </c>
      <c r="L83" s="6">
        <f t="shared" si="5"/>
        <v>8258055796.6687613</v>
      </c>
      <c r="N83" s="13">
        <f t="shared" si="6"/>
        <v>1800</v>
      </c>
      <c r="O83">
        <f t="shared" si="10"/>
        <v>4587808.7759270892</v>
      </c>
      <c r="Q83">
        <f t="shared" si="8"/>
        <v>45</v>
      </c>
      <c r="R83">
        <f t="shared" si="9"/>
        <v>18</v>
      </c>
    </row>
    <row r="84" spans="11:18" x14ac:dyDescent="0.3">
      <c r="K84">
        <v>73</v>
      </c>
      <c r="L84" s="6">
        <f t="shared" si="5"/>
        <v>10074828071.93589</v>
      </c>
      <c r="N84" s="13">
        <f t="shared" si="6"/>
        <v>1825</v>
      </c>
      <c r="O84">
        <f t="shared" si="10"/>
        <v>5520453.7380470634</v>
      </c>
      <c r="Q84">
        <f t="shared" si="8"/>
        <v>45.625</v>
      </c>
      <c r="R84">
        <f t="shared" si="9"/>
        <v>18.25</v>
      </c>
    </row>
    <row r="85" spans="11:18" x14ac:dyDescent="0.3">
      <c r="K85">
        <v>74</v>
      </c>
      <c r="L85" s="6">
        <f t="shared" si="5"/>
        <v>12291290247.761784</v>
      </c>
      <c r="N85" s="13">
        <f t="shared" si="6"/>
        <v>1850</v>
      </c>
      <c r="O85">
        <f t="shared" si="10"/>
        <v>6643940.6744658286</v>
      </c>
      <c r="Q85">
        <f t="shared" si="8"/>
        <v>46.25</v>
      </c>
      <c r="R85">
        <f t="shared" si="9"/>
        <v>18.5</v>
      </c>
    </row>
    <row r="86" spans="11:18" x14ac:dyDescent="0.3">
      <c r="K86">
        <v>75</v>
      </c>
      <c r="L86" s="6">
        <f t="shared" si="5"/>
        <v>14995374102.269373</v>
      </c>
      <c r="N86" s="13">
        <f t="shared" si="6"/>
        <v>1875</v>
      </c>
      <c r="O86">
        <f t="shared" si="10"/>
        <v>7997532.8545436654</v>
      </c>
      <c r="Q86">
        <f t="shared" si="8"/>
        <v>46.875</v>
      </c>
      <c r="R86">
        <f t="shared" si="9"/>
        <v>18.75</v>
      </c>
    </row>
    <row r="87" spans="11:18" x14ac:dyDescent="0.3">
      <c r="K87">
        <v>76</v>
      </c>
      <c r="L87" s="6">
        <f t="shared" si="5"/>
        <v>18294356404.768635</v>
      </c>
      <c r="N87" s="13">
        <f t="shared" si="6"/>
        <v>1900</v>
      </c>
      <c r="O87">
        <f t="shared" si="10"/>
        <v>9628608.6340887547</v>
      </c>
      <c r="Q87">
        <f t="shared" si="8"/>
        <v>47.5</v>
      </c>
      <c r="R87">
        <f t="shared" si="9"/>
        <v>19</v>
      </c>
    </row>
    <row r="88" spans="11:18" x14ac:dyDescent="0.3">
      <c r="K88">
        <v>77</v>
      </c>
      <c r="L88" s="6">
        <f t="shared" si="5"/>
        <v>22319114813.817734</v>
      </c>
      <c r="N88" s="13">
        <f t="shared" si="6"/>
        <v>1925</v>
      </c>
      <c r="O88">
        <f t="shared" si="10"/>
        <v>11594345.357827393</v>
      </c>
      <c r="Q88">
        <f t="shared" si="8"/>
        <v>48.125</v>
      </c>
      <c r="R88">
        <f t="shared" si="9"/>
        <v>19.25</v>
      </c>
    </row>
    <row r="89" spans="11:18" x14ac:dyDescent="0.3">
      <c r="K89">
        <v>78</v>
      </c>
      <c r="L89" s="6">
        <f t="shared" si="5"/>
        <v>27229320072.857635</v>
      </c>
      <c r="N89" s="13">
        <f t="shared" si="6"/>
        <v>1950</v>
      </c>
      <c r="O89">
        <f>L89/N89</f>
        <v>13963753.883516736</v>
      </c>
      <c r="Q89">
        <f t="shared" si="8"/>
        <v>48.75</v>
      </c>
      <c r="R89">
        <f t="shared" si="9"/>
        <v>19.5</v>
      </c>
    </row>
    <row r="90" spans="11:18" x14ac:dyDescent="0.3">
      <c r="K90">
        <v>79</v>
      </c>
      <c r="L90" s="6">
        <f t="shared" si="5"/>
        <v>33219770488.886318</v>
      </c>
      <c r="N90" s="13">
        <f t="shared" si="6"/>
        <v>1975</v>
      </c>
      <c r="O90">
        <f t="shared" si="10"/>
        <v>16820136.956398137</v>
      </c>
      <c r="Q90">
        <f t="shared" si="8"/>
        <v>49.375</v>
      </c>
      <c r="R90">
        <f t="shared" si="9"/>
        <v>19.75</v>
      </c>
    </row>
    <row r="91" spans="11:18" x14ac:dyDescent="0.3">
      <c r="K91">
        <v>80</v>
      </c>
      <c r="L91" s="6">
        <f t="shared" si="5"/>
        <v>40528119996.441299</v>
      </c>
      <c r="N91" s="13">
        <f t="shared" si="6"/>
        <v>2000</v>
      </c>
      <c r="O91">
        <f t="shared" si="10"/>
        <v>20264059.998220649</v>
      </c>
      <c r="Q91">
        <f t="shared" si="8"/>
        <v>50</v>
      </c>
      <c r="R91">
        <f t="shared" si="9"/>
        <v>20</v>
      </c>
    </row>
    <row r="92" spans="11:18" x14ac:dyDescent="0.3">
      <c r="K92">
        <v>81</v>
      </c>
      <c r="L92" s="6">
        <f t="shared" si="5"/>
        <v>49444306395.658386</v>
      </c>
      <c r="N92" s="13">
        <f t="shared" si="6"/>
        <v>2025</v>
      </c>
      <c r="O92">
        <f t="shared" si="10"/>
        <v>24416941.42995476</v>
      </c>
      <c r="Q92">
        <f t="shared" si="8"/>
        <v>50.625</v>
      </c>
      <c r="R92">
        <f t="shared" si="9"/>
        <v>20.25</v>
      </c>
    </row>
    <row r="93" spans="11:18" x14ac:dyDescent="0.3">
      <c r="K93">
        <v>82</v>
      </c>
      <c r="L93" s="6">
        <f t="shared" si="5"/>
        <v>60322053802.703224</v>
      </c>
      <c r="N93" s="13">
        <f t="shared" si="6"/>
        <v>2050</v>
      </c>
      <c r="O93">
        <f t="shared" si="10"/>
        <v>29425392.09887962</v>
      </c>
      <c r="Q93">
        <f t="shared" si="8"/>
        <v>51.25</v>
      </c>
      <c r="R93">
        <f t="shared" si="9"/>
        <v>20.5</v>
      </c>
    </row>
    <row r="94" spans="11:18" x14ac:dyDescent="0.3">
      <c r="K94">
        <v>83</v>
      </c>
      <c r="L94" s="6">
        <f t="shared" si="5"/>
        <v>73592905639.297928</v>
      </c>
      <c r="N94" s="13">
        <f t="shared" si="6"/>
        <v>2075</v>
      </c>
      <c r="O94">
        <f t="shared" si="10"/>
        <v>35466460.549059242</v>
      </c>
      <c r="Q94">
        <f t="shared" si="8"/>
        <v>51.875</v>
      </c>
      <c r="R94">
        <f t="shared" si="9"/>
        <v>20.75</v>
      </c>
    </row>
    <row r="95" spans="11:18" x14ac:dyDescent="0.3">
      <c r="K95">
        <v>84</v>
      </c>
      <c r="L95" s="6">
        <f t="shared" si="5"/>
        <v>89783344879.943466</v>
      </c>
      <c r="N95" s="13">
        <f t="shared" si="6"/>
        <v>2100</v>
      </c>
      <c r="O95">
        <f t="shared" si="10"/>
        <v>42753973.752354033</v>
      </c>
      <c r="Q95">
        <f t="shared" si="8"/>
        <v>52.5</v>
      </c>
      <c r="R95">
        <f t="shared" si="9"/>
        <v>21</v>
      </c>
    </row>
    <row r="96" spans="11:18" x14ac:dyDescent="0.3">
      <c r="K96">
        <v>85</v>
      </c>
      <c r="L96" s="6">
        <f t="shared" si="5"/>
        <v>109535680753.53102</v>
      </c>
      <c r="N96" s="13">
        <f t="shared" si="6"/>
        <v>2125</v>
      </c>
      <c r="O96">
        <f t="shared" si="10"/>
        <v>51546202.707544006</v>
      </c>
      <c r="Q96">
        <f t="shared" si="8"/>
        <v>53.125</v>
      </c>
      <c r="R96">
        <f t="shared" si="9"/>
        <v>21.25</v>
      </c>
    </row>
    <row r="97" spans="11:18" x14ac:dyDescent="0.3">
      <c r="K97">
        <v>86</v>
      </c>
      <c r="L97" s="6">
        <f t="shared" si="5"/>
        <v>133633530519.30785</v>
      </c>
      <c r="N97" s="13">
        <f t="shared" si="6"/>
        <v>2150</v>
      </c>
      <c r="O97">
        <f t="shared" si="10"/>
        <v>62155130.474096671</v>
      </c>
      <c r="Q97">
        <f t="shared" si="8"/>
        <v>53.75</v>
      </c>
      <c r="R97">
        <f t="shared" si="9"/>
        <v>21.5</v>
      </c>
    </row>
    <row r="98" spans="11:18" x14ac:dyDescent="0.3">
      <c r="K98">
        <v>87</v>
      </c>
      <c r="L98" s="6">
        <f t="shared" si="5"/>
        <v>163032907233.5556</v>
      </c>
      <c r="N98" s="13">
        <f t="shared" si="6"/>
        <v>2175</v>
      </c>
      <c r="O98">
        <f>L98/N98</f>
        <v>74957658.498186484</v>
      </c>
      <c r="Q98">
        <f t="shared" si="8"/>
        <v>54.375</v>
      </c>
      <c r="R98">
        <f t="shared" si="9"/>
        <v>21.75</v>
      </c>
    </row>
    <row r="99" spans="11:18" x14ac:dyDescent="0.3">
      <c r="K99">
        <v>88</v>
      </c>
      <c r="L99" s="6">
        <f t="shared" si="5"/>
        <v>198900146824.93781</v>
      </c>
      <c r="N99" s="13">
        <f t="shared" si="6"/>
        <v>2200</v>
      </c>
      <c r="O99">
        <f t="shared" si="10"/>
        <v>90409157.647698998</v>
      </c>
      <c r="Q99">
        <f t="shared" si="8"/>
        <v>55</v>
      </c>
      <c r="R99">
        <f t="shared" si="9"/>
        <v>22</v>
      </c>
    </row>
    <row r="100" spans="11:18" x14ac:dyDescent="0.3">
      <c r="K100">
        <v>89</v>
      </c>
      <c r="L100" s="6">
        <f t="shared" si="5"/>
        <v>242658179126.42413</v>
      </c>
      <c r="N100" s="13">
        <f t="shared" si="6"/>
        <v>2225</v>
      </c>
      <c r="O100">
        <f t="shared" si="10"/>
        <v>109059855.78715691</v>
      </c>
      <c r="Q100">
        <f t="shared" si="8"/>
        <v>55.625</v>
      </c>
      <c r="R100">
        <f t="shared" si="9"/>
        <v>22.25</v>
      </c>
    </row>
    <row r="101" spans="11:18" x14ac:dyDescent="0.3">
      <c r="K101">
        <v>90</v>
      </c>
      <c r="L101" s="6">
        <f t="shared" si="5"/>
        <v>296042978534.23743</v>
      </c>
      <c r="N101" s="13">
        <f t="shared" si="6"/>
        <v>2250</v>
      </c>
      <c r="O101">
        <f>L101/N101</f>
        <v>131574657.12632774</v>
      </c>
      <c r="Q101">
        <f t="shared" si="8"/>
        <v>56.25</v>
      </c>
      <c r="R101">
        <f t="shared" si="9"/>
        <v>22.5</v>
      </c>
    </row>
    <row r="102" spans="11:18" x14ac:dyDescent="0.3">
      <c r="K102">
        <v>91</v>
      </c>
      <c r="L102" s="6">
        <f t="shared" si="5"/>
        <v>361172433811.76953</v>
      </c>
      <c r="N102" s="13">
        <f t="shared" si="6"/>
        <v>2275</v>
      </c>
      <c r="O102">
        <f t="shared" ref="O102:O120" si="11">L102/N102</f>
        <v>158757113.76341519</v>
      </c>
      <c r="Q102">
        <f t="shared" si="8"/>
        <v>56.875</v>
      </c>
      <c r="R102">
        <f t="shared" si="9"/>
        <v>22.75</v>
      </c>
    </row>
    <row r="103" spans="11:18" x14ac:dyDescent="0.3">
      <c r="K103">
        <v>92</v>
      </c>
      <c r="L103" s="6">
        <f t="shared" si="5"/>
        <v>440630369250.35895</v>
      </c>
      <c r="N103" s="13">
        <f t="shared" si="6"/>
        <v>2300</v>
      </c>
      <c r="O103">
        <f t="shared" si="11"/>
        <v>191578421.41319954</v>
      </c>
      <c r="Q103">
        <f t="shared" si="8"/>
        <v>57.5</v>
      </c>
      <c r="R103">
        <f t="shared" si="9"/>
        <v>23</v>
      </c>
    </row>
    <row r="104" spans="11:18" x14ac:dyDescent="0.3">
      <c r="K104">
        <v>93</v>
      </c>
      <c r="L104" s="6">
        <f t="shared" si="5"/>
        <v>537569050485.43781</v>
      </c>
      <c r="N104" s="13">
        <f t="shared" si="6"/>
        <v>2325</v>
      </c>
      <c r="O104">
        <f t="shared" si="11"/>
        <v>231212494.83244637</v>
      </c>
      <c r="Q104">
        <f t="shared" si="8"/>
        <v>58.125</v>
      </c>
      <c r="R104">
        <f t="shared" si="9"/>
        <v>23.25</v>
      </c>
    </row>
    <row r="105" spans="11:18" x14ac:dyDescent="0.3">
      <c r="K105">
        <v>94</v>
      </c>
      <c r="L105" s="6">
        <f t="shared" si="5"/>
        <v>655834241592.23413</v>
      </c>
      <c r="N105" s="13">
        <f t="shared" si="6"/>
        <v>2350</v>
      </c>
      <c r="O105">
        <f t="shared" si="11"/>
        <v>279078400.67754644</v>
      </c>
      <c r="Q105">
        <f t="shared" si="8"/>
        <v>58.75</v>
      </c>
      <c r="R105">
        <f t="shared" si="9"/>
        <v>23.5</v>
      </c>
    </row>
    <row r="106" spans="11:18" x14ac:dyDescent="0.3">
      <c r="K106">
        <v>95</v>
      </c>
      <c r="L106" s="6">
        <f t="shared" si="5"/>
        <v>800117774742.52563</v>
      </c>
      <c r="N106" s="13">
        <f t="shared" si="6"/>
        <v>2375</v>
      </c>
      <c r="O106">
        <f t="shared" si="11"/>
        <v>336891694.62843186</v>
      </c>
      <c r="Q106">
        <f t="shared" si="8"/>
        <v>59.375</v>
      </c>
      <c r="R106">
        <f t="shared" si="9"/>
        <v>23.75</v>
      </c>
    </row>
    <row r="107" spans="11:18" x14ac:dyDescent="0.3">
      <c r="K107">
        <v>96</v>
      </c>
      <c r="L107" s="6">
        <f t="shared" si="5"/>
        <v>976143685185.8811</v>
      </c>
      <c r="N107" s="13">
        <f t="shared" si="6"/>
        <v>2400</v>
      </c>
      <c r="O107">
        <f t="shared" si="11"/>
        <v>406726535.49411714</v>
      </c>
      <c r="Q107">
        <f t="shared" si="8"/>
        <v>60</v>
      </c>
      <c r="R107">
        <f t="shared" si="9"/>
        <v>24</v>
      </c>
    </row>
    <row r="108" spans="11:18" x14ac:dyDescent="0.3">
      <c r="K108">
        <v>97</v>
      </c>
      <c r="L108" s="6">
        <f t="shared" si="5"/>
        <v>1190895295926.7751</v>
      </c>
      <c r="N108" s="13">
        <f t="shared" si="6"/>
        <v>2425</v>
      </c>
      <c r="O108">
        <f t="shared" si="11"/>
        <v>491090843.68114442</v>
      </c>
      <c r="Q108">
        <f t="shared" si="8"/>
        <v>60.625</v>
      </c>
      <c r="R108">
        <f t="shared" si="9"/>
        <v>24.25</v>
      </c>
    </row>
    <row r="109" spans="11:18" x14ac:dyDescent="0.3">
      <c r="K109">
        <v>98</v>
      </c>
      <c r="L109" s="6">
        <f t="shared" si="5"/>
        <v>1452892261030.6653</v>
      </c>
      <c r="N109" s="13">
        <f t="shared" si="6"/>
        <v>2450</v>
      </c>
      <c r="O109">
        <f t="shared" si="11"/>
        <v>593017249.40027153</v>
      </c>
      <c r="Q109">
        <f t="shared" si="8"/>
        <v>61.25</v>
      </c>
      <c r="R109">
        <f t="shared" si="9"/>
        <v>24.5</v>
      </c>
    </row>
    <row r="110" spans="11:18" x14ac:dyDescent="0.3">
      <c r="K110">
        <v>99</v>
      </c>
      <c r="L110" s="6">
        <f t="shared" si="5"/>
        <v>1772528558457.4119</v>
      </c>
      <c r="N110" s="13">
        <f t="shared" si="6"/>
        <v>2475</v>
      </c>
      <c r="O110">
        <f t="shared" si="11"/>
        <v>716173154.93228757</v>
      </c>
      <c r="Q110">
        <f t="shared" si="8"/>
        <v>61.875</v>
      </c>
      <c r="R110">
        <f t="shared" si="9"/>
        <v>24.75</v>
      </c>
    </row>
    <row r="111" spans="11:18" x14ac:dyDescent="0.3">
      <c r="K111">
        <v>100</v>
      </c>
      <c r="L111" s="6">
        <f t="shared" si="5"/>
        <v>2162484841318.0422</v>
      </c>
      <c r="N111" s="13">
        <f t="shared" si="6"/>
        <v>2500</v>
      </c>
      <c r="O111">
        <f t="shared" si="11"/>
        <v>864993936.52721691</v>
      </c>
      <c r="Q111">
        <f t="shared" si="8"/>
        <v>62.5</v>
      </c>
      <c r="R111">
        <f t="shared" si="9"/>
        <v>25</v>
      </c>
    </row>
    <row r="112" spans="11:18" x14ac:dyDescent="0.3">
      <c r="K112">
        <v>101</v>
      </c>
      <c r="L112" s="6">
        <f t="shared" si="5"/>
        <v>2638231506408.0112</v>
      </c>
      <c r="N112" s="13">
        <f t="shared" si="6"/>
        <v>2525</v>
      </c>
      <c r="O112">
        <f>L112/N112</f>
        <v>1044844160.9536678</v>
      </c>
      <c r="Q112">
        <f t="shared" si="8"/>
        <v>63.125</v>
      </c>
      <c r="R112">
        <f t="shared" si="9"/>
        <v>25.25</v>
      </c>
    </row>
    <row r="113" spans="11:18" x14ac:dyDescent="0.3">
      <c r="K113">
        <v>102</v>
      </c>
      <c r="L113" s="6">
        <f t="shared" si="5"/>
        <v>3218642437817.7734</v>
      </c>
      <c r="N113" s="13">
        <f t="shared" si="6"/>
        <v>2550</v>
      </c>
      <c r="O113">
        <f t="shared" si="11"/>
        <v>1262212720.7128522</v>
      </c>
      <c r="Q113">
        <f t="shared" si="8"/>
        <v>63.75</v>
      </c>
      <c r="R113">
        <f t="shared" si="9"/>
        <v>25.5</v>
      </c>
    </row>
    <row r="114" spans="11:18" x14ac:dyDescent="0.3">
      <c r="K114">
        <v>103</v>
      </c>
      <c r="L114" s="6">
        <f t="shared" si="5"/>
        <v>3926743774137.6841</v>
      </c>
      <c r="N114" s="13">
        <f t="shared" si="6"/>
        <v>2575</v>
      </c>
      <c r="O114">
        <f t="shared" si="11"/>
        <v>1524949038.5000715</v>
      </c>
      <c r="Q114">
        <f t="shared" si="8"/>
        <v>64.375</v>
      </c>
      <c r="R114">
        <f t="shared" si="9"/>
        <v>25.75</v>
      </c>
    </row>
    <row r="115" spans="11:18" x14ac:dyDescent="0.3">
      <c r="K115">
        <v>104</v>
      </c>
      <c r="L115" s="6">
        <f t="shared" si="5"/>
        <v>4790627404447.9736</v>
      </c>
      <c r="N115" s="13">
        <f t="shared" si="6"/>
        <v>2600</v>
      </c>
      <c r="O115">
        <f t="shared" si="11"/>
        <v>1842549001.7107592</v>
      </c>
      <c r="Q115">
        <f t="shared" si="8"/>
        <v>65</v>
      </c>
      <c r="R115">
        <f t="shared" si="9"/>
        <v>26</v>
      </c>
    </row>
    <row r="116" spans="11:18" x14ac:dyDescent="0.3">
      <c r="K116">
        <v>105</v>
      </c>
      <c r="L116" s="6">
        <f t="shared" si="5"/>
        <v>5844565433426.5283</v>
      </c>
      <c r="N116" s="13">
        <f t="shared" si="6"/>
        <v>2625</v>
      </c>
      <c r="O116">
        <f t="shared" si="11"/>
        <v>2226501117.4958205</v>
      </c>
      <c r="Q116">
        <f t="shared" si="8"/>
        <v>65.625</v>
      </c>
      <c r="R116">
        <f t="shared" si="9"/>
        <v>26.25</v>
      </c>
    </row>
    <row r="117" spans="11:18" x14ac:dyDescent="0.3">
      <c r="K117">
        <v>106</v>
      </c>
      <c r="L117" s="6">
        <f t="shared" si="5"/>
        <v>7130369828780.3623</v>
      </c>
      <c r="N117" s="13">
        <f t="shared" si="6"/>
        <v>2650</v>
      </c>
      <c r="O117">
        <f t="shared" si="11"/>
        <v>2690705595.7661743</v>
      </c>
      <c r="Q117">
        <f t="shared" si="8"/>
        <v>66.25</v>
      </c>
      <c r="R117">
        <f t="shared" si="9"/>
        <v>26.5</v>
      </c>
    </row>
    <row r="118" spans="11:18" x14ac:dyDescent="0.3">
      <c r="K118">
        <v>107</v>
      </c>
      <c r="L118" s="6">
        <f t="shared" si="5"/>
        <v>8699051191112.0439</v>
      </c>
      <c r="N118" s="13">
        <f t="shared" si="6"/>
        <v>2675</v>
      </c>
      <c r="O118">
        <f t="shared" si="11"/>
        <v>3251981753.6867452</v>
      </c>
      <c r="Q118">
        <f t="shared" si="8"/>
        <v>66.875</v>
      </c>
      <c r="R118">
        <f t="shared" si="9"/>
        <v>26.75</v>
      </c>
    </row>
    <row r="119" spans="11:18" x14ac:dyDescent="0.3">
      <c r="K119">
        <v>108</v>
      </c>
      <c r="L119" s="6">
        <f t="shared" si="5"/>
        <v>10612842453156.691</v>
      </c>
      <c r="N119" s="13">
        <f t="shared" si="6"/>
        <v>2700</v>
      </c>
      <c r="O119">
        <f t="shared" si="11"/>
        <v>3930682390.0580339</v>
      </c>
      <c r="Q119">
        <f t="shared" si="8"/>
        <v>67.5</v>
      </c>
      <c r="R119">
        <f t="shared" si="9"/>
        <v>27</v>
      </c>
    </row>
    <row r="120" spans="11:18" x14ac:dyDescent="0.3">
      <c r="K120">
        <v>109</v>
      </c>
      <c r="L120" s="6">
        <f t="shared" si="5"/>
        <v>12947667792851.164</v>
      </c>
      <c r="N120" s="13">
        <f t="shared" si="6"/>
        <v>2725</v>
      </c>
      <c r="O120">
        <f t="shared" si="11"/>
        <v>4751437722.1472158</v>
      </c>
      <c r="Q120">
        <f t="shared" si="8"/>
        <v>68.125</v>
      </c>
      <c r="R120">
        <f t="shared" si="9"/>
        <v>27.25</v>
      </c>
    </row>
    <row r="121" spans="11:18" x14ac:dyDescent="0.3">
      <c r="K121">
        <v>110</v>
      </c>
      <c r="L121" s="6">
        <f t="shared" si="5"/>
        <v>15796154707278.418</v>
      </c>
      <c r="N121" s="13">
        <f t="shared" si="6"/>
        <v>2750</v>
      </c>
      <c r="O121">
        <f>L121/N121</f>
        <v>5744056257.192152</v>
      </c>
      <c r="Q121">
        <f t="shared" si="8"/>
        <v>68.75</v>
      </c>
      <c r="R121">
        <f t="shared" si="9"/>
        <v>27.5</v>
      </c>
    </row>
    <row r="122" spans="11:18" x14ac:dyDescent="0.3">
      <c r="K122">
        <v>111</v>
      </c>
      <c r="L122" s="6">
        <f t="shared" si="5"/>
        <v>19271308742879.672</v>
      </c>
      <c r="N122" s="13">
        <f t="shared" si="6"/>
        <v>2775</v>
      </c>
      <c r="O122">
        <f t="shared" ref="O122:O142" si="12">L122/N122</f>
        <v>6944615763.1998816</v>
      </c>
      <c r="Q122">
        <f t="shared" si="8"/>
        <v>69.375</v>
      </c>
      <c r="R122">
        <f t="shared" si="9"/>
        <v>27.75</v>
      </c>
    </row>
    <row r="123" spans="11:18" x14ac:dyDescent="0.3">
      <c r="K123">
        <v>112</v>
      </c>
      <c r="L123" s="6">
        <f t="shared" si="5"/>
        <v>23510996666313.195</v>
      </c>
      <c r="N123" s="13">
        <f t="shared" si="6"/>
        <v>2800</v>
      </c>
      <c r="O123">
        <f t="shared" si="12"/>
        <v>8396784523.6832838</v>
      </c>
      <c r="Q123">
        <f t="shared" si="8"/>
        <v>70</v>
      </c>
      <c r="R123">
        <f t="shared" si="9"/>
        <v>28</v>
      </c>
    </row>
    <row r="124" spans="11:18" x14ac:dyDescent="0.3">
      <c r="K124">
        <v>113</v>
      </c>
      <c r="L124" s="6">
        <f t="shared" si="5"/>
        <v>28683415932902.098</v>
      </c>
      <c r="N124" s="13">
        <f t="shared" si="6"/>
        <v>2825</v>
      </c>
      <c r="O124">
        <f t="shared" si="12"/>
        <v>10153421569.168884</v>
      </c>
      <c r="Q124">
        <f t="shared" si="8"/>
        <v>70.625</v>
      </c>
      <c r="R124">
        <f t="shared" si="9"/>
        <v>28.25</v>
      </c>
    </row>
    <row r="125" spans="11:18" x14ac:dyDescent="0.3">
      <c r="K125">
        <v>114</v>
      </c>
      <c r="L125" s="6">
        <f t="shared" si="5"/>
        <v>34993767438140.559</v>
      </c>
      <c r="N125" s="13">
        <f t="shared" si="6"/>
        <v>2850</v>
      </c>
      <c r="O125">
        <f t="shared" si="12"/>
        <v>12278514890.575634</v>
      </c>
      <c r="Q125">
        <f t="shared" si="8"/>
        <v>71.25</v>
      </c>
      <c r="R125">
        <f t="shared" si="9"/>
        <v>28.5</v>
      </c>
    </row>
    <row r="126" spans="11:18" x14ac:dyDescent="0.3">
      <c r="K126">
        <v>115</v>
      </c>
      <c r="L126" s="6">
        <f t="shared" si="5"/>
        <v>42692396274531.477</v>
      </c>
      <c r="N126" s="13">
        <f t="shared" si="6"/>
        <v>2875</v>
      </c>
      <c r="O126">
        <f t="shared" si="12"/>
        <v>14849529138.96747</v>
      </c>
      <c r="Q126">
        <f t="shared" si="8"/>
        <v>71.875</v>
      </c>
      <c r="R126">
        <f t="shared" si="9"/>
        <v>28.75</v>
      </c>
    </row>
    <row r="127" spans="11:18" x14ac:dyDescent="0.3">
      <c r="K127">
        <v>116</v>
      </c>
      <c r="L127" s="6">
        <f t="shared" si="5"/>
        <v>52084723454928.398</v>
      </c>
      <c r="N127" s="13">
        <f t="shared" si="6"/>
        <v>2900</v>
      </c>
      <c r="O127">
        <f t="shared" si="12"/>
        <v>17960249467.21669</v>
      </c>
      <c r="Q127">
        <f t="shared" si="8"/>
        <v>72.5</v>
      </c>
      <c r="R127">
        <f t="shared" si="9"/>
        <v>29</v>
      </c>
    </row>
    <row r="128" spans="11:18" x14ac:dyDescent="0.3">
      <c r="K128">
        <v>117</v>
      </c>
      <c r="L128" s="6">
        <f t="shared" si="5"/>
        <v>63543362615012.648</v>
      </c>
      <c r="N128" s="13">
        <f t="shared" si="6"/>
        <v>2925</v>
      </c>
      <c r="O128">
        <f t="shared" si="12"/>
        <v>21724226535.047058</v>
      </c>
      <c r="Q128">
        <f t="shared" si="8"/>
        <v>73.125</v>
      </c>
      <c r="R128">
        <f t="shared" si="9"/>
        <v>29.25</v>
      </c>
    </row>
    <row r="129" spans="11:18" x14ac:dyDescent="0.3">
      <c r="K129">
        <v>118</v>
      </c>
      <c r="L129" s="6">
        <f t="shared" si="5"/>
        <v>77522902390315.422</v>
      </c>
      <c r="N129" s="13">
        <f t="shared" si="6"/>
        <v>2950</v>
      </c>
      <c r="O129">
        <f t="shared" si="12"/>
        <v>26278949962.818787</v>
      </c>
      <c r="Q129">
        <f t="shared" si="8"/>
        <v>73.75</v>
      </c>
      <c r="R129">
        <f t="shared" si="9"/>
        <v>29.5</v>
      </c>
    </row>
    <row r="130" spans="11:18" x14ac:dyDescent="0.3">
      <c r="K130">
        <v>119</v>
      </c>
      <c r="L130" s="6">
        <f t="shared" si="5"/>
        <v>94577940916184.828</v>
      </c>
      <c r="N130" s="13">
        <f t="shared" si="6"/>
        <v>2975</v>
      </c>
      <c r="O130">
        <f t="shared" si="12"/>
        <v>31790904509.64196</v>
      </c>
      <c r="Q130">
        <f t="shared" si="8"/>
        <v>74.375</v>
      </c>
      <c r="R130">
        <f t="shared" si="9"/>
        <v>29.75</v>
      </c>
    </row>
    <row r="131" spans="11:18" x14ac:dyDescent="0.3">
      <c r="K131">
        <v>120</v>
      </c>
      <c r="L131" s="6">
        <f t="shared" si="5"/>
        <v>115385087917745.47</v>
      </c>
      <c r="N131" s="13">
        <f t="shared" si="6"/>
        <v>3000</v>
      </c>
      <c r="O131">
        <f t="shared" si="12"/>
        <v>38461695972.581825</v>
      </c>
      <c r="Q131">
        <f t="shared" si="8"/>
        <v>75</v>
      </c>
      <c r="R131">
        <f t="shared" si="9"/>
        <v>30</v>
      </c>
    </row>
    <row r="132" spans="11:18" x14ac:dyDescent="0.3">
      <c r="K132">
        <v>121</v>
      </c>
      <c r="L132" s="6">
        <f t="shared" si="5"/>
        <v>140769807259649.47</v>
      </c>
      <c r="N132" s="13">
        <f t="shared" si="6"/>
        <v>3025</v>
      </c>
      <c r="O132">
        <f>L132/N132</f>
        <v>46535473474.26429</v>
      </c>
      <c r="Q132">
        <f t="shared" si="8"/>
        <v>75.625</v>
      </c>
      <c r="R132">
        <f t="shared" si="9"/>
        <v>30.25</v>
      </c>
    </row>
    <row r="133" spans="11:18" x14ac:dyDescent="0.3">
      <c r="K133">
        <v>122</v>
      </c>
      <c r="L133" s="6">
        <f t="shared" si="5"/>
        <v>171739164856772.38</v>
      </c>
      <c r="N133" s="13">
        <f t="shared" si="6"/>
        <v>3050</v>
      </c>
      <c r="O133">
        <f t="shared" si="12"/>
        <v>56307922903.859795</v>
      </c>
      <c r="Q133">
        <f t="shared" si="8"/>
        <v>76.25</v>
      </c>
      <c r="R133">
        <f t="shared" si="9"/>
        <v>30.5</v>
      </c>
    </row>
    <row r="134" spans="11:18" x14ac:dyDescent="0.3">
      <c r="K134">
        <v>123</v>
      </c>
      <c r="L134" s="6">
        <f t="shared" si="5"/>
        <v>209521781125262.25</v>
      </c>
      <c r="N134" s="13">
        <f t="shared" si="6"/>
        <v>3075</v>
      </c>
      <c r="O134">
        <f t="shared" si="12"/>
        <v>68137164593.581223</v>
      </c>
      <c r="Q134">
        <f t="shared" si="8"/>
        <v>76.875</v>
      </c>
      <c r="R134">
        <f t="shared" si="9"/>
        <v>30.75</v>
      </c>
    </row>
    <row r="135" spans="11:18" x14ac:dyDescent="0.3">
      <c r="K135">
        <v>124</v>
      </c>
      <c r="L135" s="6">
        <f t="shared" si="5"/>
        <v>255616572972819.94</v>
      </c>
      <c r="N135" s="13">
        <f t="shared" si="6"/>
        <v>3100</v>
      </c>
      <c r="O135">
        <f t="shared" si="12"/>
        <v>82456959023.490295</v>
      </c>
      <c r="Q135">
        <f t="shared" si="8"/>
        <v>77.5</v>
      </c>
      <c r="R135">
        <f t="shared" si="9"/>
        <v>31</v>
      </c>
    </row>
    <row r="136" spans="11:18" x14ac:dyDescent="0.3">
      <c r="K136">
        <v>125</v>
      </c>
      <c r="L136" s="6">
        <f t="shared" si="5"/>
        <v>311852219026840.31</v>
      </c>
      <c r="N136" s="13">
        <f t="shared" si="6"/>
        <v>3125</v>
      </c>
      <c r="O136">
        <f t="shared" si="12"/>
        <v>99792710088.588898</v>
      </c>
      <c r="Q136">
        <f t="shared" si="8"/>
        <v>78.125</v>
      </c>
      <c r="R136">
        <f t="shared" si="9"/>
        <v>31.25</v>
      </c>
    </row>
    <row r="137" spans="11:18" x14ac:dyDescent="0.3">
      <c r="K137">
        <v>126</v>
      </c>
      <c r="L137" s="6">
        <f t="shared" si="5"/>
        <v>380459707212745.13</v>
      </c>
      <c r="N137" s="13">
        <f t="shared" si="6"/>
        <v>3150</v>
      </c>
      <c r="O137">
        <f t="shared" si="12"/>
        <v>120780859432.61749</v>
      </c>
      <c r="Q137">
        <f t="shared" si="8"/>
        <v>78.75</v>
      </c>
      <c r="R137">
        <f t="shared" si="9"/>
        <v>31.5</v>
      </c>
    </row>
    <row r="138" spans="11:18" x14ac:dyDescent="0.3">
      <c r="K138">
        <v>127</v>
      </c>
      <c r="L138" s="6">
        <f t="shared" si="5"/>
        <v>464160842799549.13</v>
      </c>
      <c r="N138" s="13">
        <f t="shared" si="6"/>
        <v>3175</v>
      </c>
      <c r="O138">
        <f t="shared" si="12"/>
        <v>146192391432.92886</v>
      </c>
      <c r="Q138">
        <f t="shared" si="8"/>
        <v>79.375</v>
      </c>
      <c r="R138">
        <f t="shared" si="9"/>
        <v>31.75</v>
      </c>
    </row>
    <row r="139" spans="11:18" x14ac:dyDescent="0.3">
      <c r="K139">
        <v>128</v>
      </c>
      <c r="L139" s="6">
        <f t="shared" si="5"/>
        <v>566276228215449.88</v>
      </c>
      <c r="N139" s="13">
        <f t="shared" si="6"/>
        <v>3200</v>
      </c>
      <c r="O139">
        <f t="shared" si="12"/>
        <v>176961321317.32809</v>
      </c>
      <c r="Q139">
        <f t="shared" si="8"/>
        <v>80</v>
      </c>
      <c r="R139">
        <f t="shared" si="9"/>
        <v>32</v>
      </c>
    </row>
    <row r="140" spans="11:18" x14ac:dyDescent="0.3">
      <c r="K140">
        <v>129</v>
      </c>
      <c r="L140" s="6">
        <f t="shared" ref="L140:L203" si="13">$I$6*($I$7^K140)</f>
        <v>690856998422848.88</v>
      </c>
      <c r="N140" s="13">
        <f t="shared" ref="N140:N203" si="14">K140*$I$8</f>
        <v>3225</v>
      </c>
      <c r="O140">
        <f t="shared" si="12"/>
        <v>214219224317.16245</v>
      </c>
      <c r="Q140">
        <f t="shared" ref="Q140:Q203" si="15">K140*$I$11</f>
        <v>80.625</v>
      </c>
      <c r="R140">
        <f t="shared" ref="R140:R203" si="16">K140*$I$12</f>
        <v>32.25</v>
      </c>
    </row>
    <row r="141" spans="11:18" x14ac:dyDescent="0.3">
      <c r="K141">
        <v>130</v>
      </c>
      <c r="L141" s="6">
        <f t="shared" si="13"/>
        <v>842845538075875.5</v>
      </c>
      <c r="N141" s="13">
        <f t="shared" si="14"/>
        <v>3250</v>
      </c>
      <c r="O141">
        <f>L141/N141</f>
        <v>259337088638.73093</v>
      </c>
      <c r="Q141">
        <f t="shared" si="15"/>
        <v>81.25</v>
      </c>
      <c r="R141">
        <f t="shared" si="16"/>
        <v>32.5</v>
      </c>
    </row>
    <row r="142" spans="11:18" x14ac:dyDescent="0.3">
      <c r="K142">
        <v>131</v>
      </c>
      <c r="L142" s="6">
        <f t="shared" si="13"/>
        <v>1028271556452568</v>
      </c>
      <c r="N142" s="13">
        <f t="shared" si="14"/>
        <v>3275</v>
      </c>
      <c r="O142">
        <f t="shared" si="12"/>
        <v>313976047771.77649</v>
      </c>
      <c r="Q142">
        <f t="shared" si="15"/>
        <v>81.875</v>
      </c>
      <c r="R142">
        <f t="shared" si="16"/>
        <v>32.75</v>
      </c>
    </row>
    <row r="143" spans="11:18" x14ac:dyDescent="0.3">
      <c r="K143">
        <v>132</v>
      </c>
      <c r="L143" s="6">
        <f t="shared" si="13"/>
        <v>1254491298872132.8</v>
      </c>
      <c r="N143" s="13">
        <f t="shared" si="14"/>
        <v>3300</v>
      </c>
      <c r="O143">
        <f>L143/N143</f>
        <v>380148878446.10083</v>
      </c>
      <c r="Q143">
        <f t="shared" si="15"/>
        <v>82.5</v>
      </c>
      <c r="R143">
        <f t="shared" si="16"/>
        <v>33</v>
      </c>
    </row>
    <row r="144" spans="11:18" x14ac:dyDescent="0.3">
      <c r="K144">
        <v>133</v>
      </c>
      <c r="L144" s="6">
        <f t="shared" si="13"/>
        <v>1530479384624002</v>
      </c>
      <c r="N144" s="13">
        <f t="shared" si="14"/>
        <v>3325</v>
      </c>
      <c r="O144">
        <f t="shared" ref="O144:O207" si="17">L144/N144</f>
        <v>460294551766.61713</v>
      </c>
      <c r="Q144">
        <f t="shared" si="15"/>
        <v>83.125</v>
      </c>
      <c r="R144">
        <f t="shared" si="16"/>
        <v>33.25</v>
      </c>
    </row>
    <row r="145" spans="11:18" x14ac:dyDescent="0.3">
      <c r="K145">
        <v>134</v>
      </c>
      <c r="L145" s="6">
        <f t="shared" si="13"/>
        <v>1867184849241282.8</v>
      </c>
      <c r="N145" s="13">
        <f t="shared" si="14"/>
        <v>3350</v>
      </c>
      <c r="O145">
        <f t="shared" si="17"/>
        <v>557368611713.8158</v>
      </c>
      <c r="Q145">
        <f t="shared" si="15"/>
        <v>83.75</v>
      </c>
      <c r="R145">
        <f t="shared" si="16"/>
        <v>33.5</v>
      </c>
    </row>
    <row r="146" spans="11:18" x14ac:dyDescent="0.3">
      <c r="K146">
        <v>135</v>
      </c>
      <c r="L146" s="6">
        <f t="shared" si="13"/>
        <v>2277965516074364.5</v>
      </c>
      <c r="N146" s="13">
        <f t="shared" si="14"/>
        <v>3375</v>
      </c>
      <c r="O146">
        <f t="shared" si="17"/>
        <v>674952745503.51538</v>
      </c>
      <c r="Q146">
        <f t="shared" si="15"/>
        <v>84.375</v>
      </c>
      <c r="R146">
        <f t="shared" si="16"/>
        <v>33.75</v>
      </c>
    </row>
    <row r="147" spans="11:18" x14ac:dyDescent="0.3">
      <c r="K147">
        <v>136</v>
      </c>
      <c r="L147" s="6">
        <f t="shared" si="13"/>
        <v>2779117929610724.5</v>
      </c>
      <c r="N147" s="13">
        <f t="shared" si="14"/>
        <v>3400</v>
      </c>
      <c r="O147">
        <f t="shared" si="17"/>
        <v>817387626356.09546</v>
      </c>
      <c r="Q147">
        <f t="shared" si="15"/>
        <v>85</v>
      </c>
      <c r="R147">
        <f t="shared" si="16"/>
        <v>34</v>
      </c>
    </row>
    <row r="148" spans="11:18" x14ac:dyDescent="0.3">
      <c r="K148">
        <v>137</v>
      </c>
      <c r="L148" s="6">
        <f t="shared" si="13"/>
        <v>3390523874125084</v>
      </c>
      <c r="N148" s="13">
        <f t="shared" si="14"/>
        <v>3425</v>
      </c>
      <c r="O148">
        <f t="shared" si="17"/>
        <v>989933977846.73987</v>
      </c>
      <c r="Q148">
        <f t="shared" si="15"/>
        <v>85.625</v>
      </c>
      <c r="R148">
        <f t="shared" si="16"/>
        <v>34.25</v>
      </c>
    </row>
    <row r="149" spans="11:18" x14ac:dyDescent="0.3">
      <c r="K149">
        <v>138</v>
      </c>
      <c r="L149" s="6">
        <f t="shared" si="13"/>
        <v>4136439126432602</v>
      </c>
      <c r="N149" s="13">
        <f t="shared" si="14"/>
        <v>3450</v>
      </c>
      <c r="O149">
        <f t="shared" si="17"/>
        <v>1198967862734.0876</v>
      </c>
      <c r="Q149">
        <f t="shared" si="15"/>
        <v>86.25</v>
      </c>
      <c r="R149">
        <f t="shared" si="16"/>
        <v>34.5</v>
      </c>
    </row>
    <row r="150" spans="11:18" x14ac:dyDescent="0.3">
      <c r="K150">
        <v>139</v>
      </c>
      <c r="L150" s="6">
        <f t="shared" si="13"/>
        <v>5046455734247774</v>
      </c>
      <c r="N150" s="13">
        <f t="shared" si="14"/>
        <v>3475</v>
      </c>
      <c r="O150">
        <f t="shared" si="17"/>
        <v>1452217477481.3738</v>
      </c>
      <c r="Q150">
        <f t="shared" si="15"/>
        <v>86.875</v>
      </c>
      <c r="R150">
        <f t="shared" si="16"/>
        <v>34.75</v>
      </c>
    </row>
    <row r="151" spans="11:18" x14ac:dyDescent="0.3">
      <c r="K151">
        <v>140</v>
      </c>
      <c r="L151" s="6">
        <f t="shared" si="13"/>
        <v>6156675995782285</v>
      </c>
      <c r="N151" s="13">
        <f t="shared" si="14"/>
        <v>3500</v>
      </c>
      <c r="O151">
        <f t="shared" si="17"/>
        <v>1759050284509.2244</v>
      </c>
      <c r="Q151">
        <f t="shared" si="15"/>
        <v>87.5</v>
      </c>
      <c r="R151">
        <f t="shared" si="16"/>
        <v>35</v>
      </c>
    </row>
    <row r="152" spans="11:18" x14ac:dyDescent="0.3">
      <c r="K152">
        <v>141</v>
      </c>
      <c r="L152" s="6">
        <f t="shared" si="13"/>
        <v>7511144714854387</v>
      </c>
      <c r="N152" s="13">
        <f t="shared" si="14"/>
        <v>3525</v>
      </c>
      <c r="O152">
        <f t="shared" si="17"/>
        <v>2130821195703.3723</v>
      </c>
      <c r="Q152">
        <f t="shared" si="15"/>
        <v>88.125</v>
      </c>
      <c r="R152">
        <f t="shared" si="16"/>
        <v>35.25</v>
      </c>
    </row>
    <row r="153" spans="11:18" x14ac:dyDescent="0.3">
      <c r="K153">
        <v>142</v>
      </c>
      <c r="L153" s="6">
        <f t="shared" si="13"/>
        <v>9163596552122352</v>
      </c>
      <c r="N153" s="13">
        <f t="shared" si="14"/>
        <v>3550</v>
      </c>
      <c r="O153">
        <f t="shared" si="17"/>
        <v>2581294803414.7471</v>
      </c>
      <c r="Q153">
        <f t="shared" si="15"/>
        <v>88.75</v>
      </c>
      <c r="R153">
        <f t="shared" si="16"/>
        <v>35.5</v>
      </c>
    </row>
    <row r="154" spans="11:18" x14ac:dyDescent="0.3">
      <c r="K154">
        <v>143</v>
      </c>
      <c r="L154" s="6">
        <f t="shared" si="13"/>
        <v>1.117958779358927E+16</v>
      </c>
      <c r="N154" s="13">
        <f t="shared" si="14"/>
        <v>3575</v>
      </c>
      <c r="O154">
        <f>L154/N154</f>
        <v>3127157424780.2153</v>
      </c>
      <c r="Q154">
        <f t="shared" si="15"/>
        <v>89.375</v>
      </c>
      <c r="R154">
        <f t="shared" si="16"/>
        <v>35.75</v>
      </c>
    </row>
    <row r="155" spans="11:18" x14ac:dyDescent="0.3">
      <c r="K155">
        <v>144</v>
      </c>
      <c r="L155" s="6">
        <f t="shared" si="13"/>
        <v>1.3639097108178906E+16</v>
      </c>
      <c r="N155" s="13">
        <f t="shared" si="14"/>
        <v>3600</v>
      </c>
      <c r="O155">
        <f t="shared" si="17"/>
        <v>3788638085605.2515</v>
      </c>
      <c r="Q155">
        <f t="shared" si="15"/>
        <v>90</v>
      </c>
      <c r="R155">
        <f t="shared" si="16"/>
        <v>36</v>
      </c>
    </row>
    <row r="156" spans="11:18" x14ac:dyDescent="0.3">
      <c r="K156">
        <v>145</v>
      </c>
      <c r="L156" s="6">
        <f t="shared" si="13"/>
        <v>1.6639698471978264E+16</v>
      </c>
      <c r="N156" s="13">
        <f t="shared" si="14"/>
        <v>3625</v>
      </c>
      <c r="O156">
        <f t="shared" si="17"/>
        <v>4590261647442.2793</v>
      </c>
      <c r="Q156">
        <f t="shared" si="15"/>
        <v>90.625</v>
      </c>
      <c r="R156">
        <f t="shared" si="16"/>
        <v>36.25</v>
      </c>
    </row>
    <row r="157" spans="11:18" x14ac:dyDescent="0.3">
      <c r="K157">
        <v>146</v>
      </c>
      <c r="L157" s="6">
        <f t="shared" si="13"/>
        <v>2.030043213581348E+16</v>
      </c>
      <c r="N157" s="13">
        <f t="shared" si="14"/>
        <v>3650</v>
      </c>
      <c r="O157">
        <f t="shared" si="17"/>
        <v>5561762228989.9941</v>
      </c>
      <c r="Q157">
        <f t="shared" si="15"/>
        <v>91.25</v>
      </c>
      <c r="R157">
        <f t="shared" si="16"/>
        <v>36.5</v>
      </c>
    </row>
    <row r="158" spans="11:18" x14ac:dyDescent="0.3">
      <c r="K158">
        <v>147</v>
      </c>
      <c r="L158" s="6">
        <f t="shared" si="13"/>
        <v>2.4766527205692448E+16</v>
      </c>
      <c r="N158" s="13">
        <f t="shared" si="14"/>
        <v>3675</v>
      </c>
      <c r="O158">
        <f t="shared" si="17"/>
        <v>6739191076378.8975</v>
      </c>
      <c r="Q158">
        <f t="shared" si="15"/>
        <v>91.875</v>
      </c>
      <c r="R158">
        <f t="shared" si="16"/>
        <v>36.75</v>
      </c>
    </row>
    <row r="159" spans="11:18" x14ac:dyDescent="0.3">
      <c r="K159">
        <v>148</v>
      </c>
      <c r="L159" s="6">
        <f t="shared" si="13"/>
        <v>3.0215163190944784E+16</v>
      </c>
      <c r="N159" s="13">
        <f t="shared" si="14"/>
        <v>3700</v>
      </c>
      <c r="O159">
        <f t="shared" si="17"/>
        <v>8166260321876.9688</v>
      </c>
      <c r="Q159">
        <f t="shared" si="15"/>
        <v>92.5</v>
      </c>
      <c r="R159">
        <f t="shared" si="16"/>
        <v>37</v>
      </c>
    </row>
    <row r="160" spans="11:18" x14ac:dyDescent="0.3">
      <c r="K160">
        <v>149</v>
      </c>
      <c r="L160" s="6">
        <f t="shared" si="13"/>
        <v>3.686249909295264E+16</v>
      </c>
      <c r="N160" s="13">
        <f t="shared" si="14"/>
        <v>3725</v>
      </c>
      <c r="O160">
        <f t="shared" si="17"/>
        <v>9895972910859.7695</v>
      </c>
      <c r="Q160">
        <f t="shared" si="15"/>
        <v>93.125</v>
      </c>
      <c r="R160">
        <f t="shared" si="16"/>
        <v>37.25</v>
      </c>
    </row>
    <row r="161" spans="11:18" x14ac:dyDescent="0.3">
      <c r="K161">
        <v>150</v>
      </c>
      <c r="L161" s="6">
        <f t="shared" si="13"/>
        <v>4.4972248893402216E+16</v>
      </c>
      <c r="N161" s="13">
        <f t="shared" si="14"/>
        <v>3750</v>
      </c>
      <c r="O161">
        <f t="shared" si="17"/>
        <v>11992599704907.258</v>
      </c>
      <c r="Q161">
        <f t="shared" si="15"/>
        <v>93.75</v>
      </c>
      <c r="R161">
        <f t="shared" si="16"/>
        <v>37.5</v>
      </c>
    </row>
    <row r="162" spans="11:18" x14ac:dyDescent="0.3">
      <c r="K162">
        <v>151</v>
      </c>
      <c r="L162" s="6">
        <f t="shared" si="13"/>
        <v>5.4866143649950704E+16</v>
      </c>
      <c r="N162" s="13">
        <f t="shared" si="14"/>
        <v>3775</v>
      </c>
      <c r="O162">
        <f t="shared" si="17"/>
        <v>14534077788066.412</v>
      </c>
      <c r="Q162">
        <f t="shared" si="15"/>
        <v>94.375</v>
      </c>
      <c r="R162">
        <f t="shared" si="16"/>
        <v>37.75</v>
      </c>
    </row>
    <row r="163" spans="11:18" x14ac:dyDescent="0.3">
      <c r="K163">
        <v>152</v>
      </c>
      <c r="L163" s="6">
        <f t="shared" si="13"/>
        <v>6.693669525293984E+16</v>
      </c>
      <c r="N163" s="13">
        <f t="shared" si="14"/>
        <v>3800</v>
      </c>
      <c r="O163">
        <f t="shared" si="17"/>
        <v>17614919803405.223</v>
      </c>
      <c r="Q163">
        <f t="shared" si="15"/>
        <v>95</v>
      </c>
      <c r="R163">
        <f t="shared" si="16"/>
        <v>38</v>
      </c>
    </row>
    <row r="164" spans="11:18" x14ac:dyDescent="0.3">
      <c r="K164">
        <v>153</v>
      </c>
      <c r="L164" s="6">
        <f t="shared" si="13"/>
        <v>8.1662768208586608E+16</v>
      </c>
      <c r="N164" s="13">
        <f t="shared" si="14"/>
        <v>3825</v>
      </c>
      <c r="O164">
        <f t="shared" si="17"/>
        <v>21349743322506.305</v>
      </c>
      <c r="Q164">
        <f t="shared" si="15"/>
        <v>95.625</v>
      </c>
      <c r="R164">
        <f t="shared" si="16"/>
        <v>38.25</v>
      </c>
    </row>
    <row r="165" spans="11:18" x14ac:dyDescent="0.3">
      <c r="K165">
        <v>154</v>
      </c>
      <c r="L165" s="6">
        <f t="shared" si="13"/>
        <v>9.9628577214475664E+16</v>
      </c>
      <c r="N165" s="13">
        <f t="shared" si="14"/>
        <v>3850</v>
      </c>
      <c r="O165">
        <f t="shared" si="17"/>
        <v>25877552523240.434</v>
      </c>
      <c r="Q165">
        <f t="shared" si="15"/>
        <v>96.25</v>
      </c>
      <c r="R165">
        <f t="shared" si="16"/>
        <v>38.5</v>
      </c>
    </row>
    <row r="166" spans="11:18" x14ac:dyDescent="0.3">
      <c r="K166">
        <v>155</v>
      </c>
      <c r="L166" s="6">
        <f t="shared" si="13"/>
        <v>1.2154686420166029E+17</v>
      </c>
      <c r="N166" s="13">
        <f t="shared" si="14"/>
        <v>3875</v>
      </c>
      <c r="O166">
        <f t="shared" si="17"/>
        <v>31366932697202.656</v>
      </c>
      <c r="Q166">
        <f t="shared" si="15"/>
        <v>96.875</v>
      </c>
      <c r="R166">
        <f t="shared" si="16"/>
        <v>38.75</v>
      </c>
    </row>
    <row r="167" spans="11:18" x14ac:dyDescent="0.3">
      <c r="K167">
        <v>156</v>
      </c>
      <c r="L167" s="6">
        <f t="shared" si="13"/>
        <v>1.4828717432602557E+17</v>
      </c>
      <c r="N167" s="13">
        <f t="shared" si="14"/>
        <v>3900</v>
      </c>
      <c r="O167">
        <f t="shared" si="17"/>
        <v>38022352391288.609</v>
      </c>
      <c r="Q167">
        <f t="shared" si="15"/>
        <v>97.5</v>
      </c>
      <c r="R167">
        <f t="shared" si="16"/>
        <v>39</v>
      </c>
    </row>
    <row r="168" spans="11:18" x14ac:dyDescent="0.3">
      <c r="K168">
        <v>157</v>
      </c>
      <c r="L168" s="6">
        <f t="shared" si="13"/>
        <v>1.8091035267775117E+17</v>
      </c>
      <c r="N168" s="13">
        <f t="shared" si="14"/>
        <v>3925</v>
      </c>
      <c r="O168">
        <f t="shared" si="17"/>
        <v>46091809599427.047</v>
      </c>
      <c r="Q168">
        <f t="shared" si="15"/>
        <v>98.125</v>
      </c>
      <c r="R168">
        <f t="shared" si="16"/>
        <v>39.25</v>
      </c>
    </row>
    <row r="169" spans="11:18" x14ac:dyDescent="0.3">
      <c r="K169">
        <v>158</v>
      </c>
      <c r="L169" s="6">
        <f t="shared" si="13"/>
        <v>2.2071063026685642E+17</v>
      </c>
      <c r="N169" s="13">
        <f t="shared" si="14"/>
        <v>3950</v>
      </c>
      <c r="O169">
        <f t="shared" si="17"/>
        <v>55876108928318.078</v>
      </c>
      <c r="Q169">
        <f t="shared" si="15"/>
        <v>98.75</v>
      </c>
      <c r="R169">
        <f t="shared" si="16"/>
        <v>39.5</v>
      </c>
    </row>
    <row r="170" spans="11:18" x14ac:dyDescent="0.3">
      <c r="K170">
        <v>159</v>
      </c>
      <c r="L170" s="6">
        <f t="shared" si="13"/>
        <v>2.6926696892556483E+17</v>
      </c>
      <c r="N170" s="13">
        <f t="shared" si="14"/>
        <v>3975</v>
      </c>
      <c r="O170">
        <f t="shared" si="17"/>
        <v>67740117968695.555</v>
      </c>
      <c r="Q170">
        <f t="shared" si="15"/>
        <v>99.375</v>
      </c>
      <c r="R170">
        <f t="shared" si="16"/>
        <v>39.75</v>
      </c>
    </row>
    <row r="171" spans="11:18" x14ac:dyDescent="0.3">
      <c r="K171">
        <v>160</v>
      </c>
      <c r="L171" s="6">
        <f t="shared" si="13"/>
        <v>3.2850570208918906E+17</v>
      </c>
      <c r="N171" s="13">
        <f t="shared" si="14"/>
        <v>4000</v>
      </c>
      <c r="O171">
        <f t="shared" si="17"/>
        <v>82126425522297.266</v>
      </c>
      <c r="Q171">
        <f t="shared" si="15"/>
        <v>100</v>
      </c>
      <c r="R171">
        <f t="shared" si="16"/>
        <v>40</v>
      </c>
    </row>
    <row r="172" spans="11:18" x14ac:dyDescent="0.3">
      <c r="K172">
        <v>161</v>
      </c>
      <c r="L172" s="6">
        <f t="shared" si="13"/>
        <v>4.0077695654881062E+17</v>
      </c>
      <c r="N172" s="13">
        <f t="shared" si="14"/>
        <v>4025</v>
      </c>
      <c r="O172">
        <f t="shared" si="17"/>
        <v>99571914670511.953</v>
      </c>
      <c r="Q172">
        <f t="shared" si="15"/>
        <v>100.625</v>
      </c>
      <c r="R172">
        <f t="shared" si="16"/>
        <v>40.25</v>
      </c>
    </row>
    <row r="173" spans="11:18" x14ac:dyDescent="0.3">
      <c r="K173">
        <v>162</v>
      </c>
      <c r="L173" s="6">
        <f t="shared" si="13"/>
        <v>4.8894788698954899E+17</v>
      </c>
      <c r="N173" s="13">
        <f t="shared" si="14"/>
        <v>4050</v>
      </c>
      <c r="O173">
        <f t="shared" si="17"/>
        <v>120727873330752.84</v>
      </c>
      <c r="Q173">
        <f t="shared" si="15"/>
        <v>101.25</v>
      </c>
      <c r="R173">
        <f t="shared" si="16"/>
        <v>40.5</v>
      </c>
    </row>
    <row r="174" spans="11:18" x14ac:dyDescent="0.3">
      <c r="K174">
        <v>163</v>
      </c>
      <c r="L174" s="6">
        <f t="shared" si="13"/>
        <v>5.9651642212724979E+17</v>
      </c>
      <c r="N174" s="13">
        <f t="shared" si="14"/>
        <v>4075</v>
      </c>
      <c r="O174">
        <f t="shared" si="17"/>
        <v>146384398068036.75</v>
      </c>
      <c r="Q174">
        <f t="shared" si="15"/>
        <v>101.875</v>
      </c>
      <c r="R174">
        <f t="shared" si="16"/>
        <v>40.75</v>
      </c>
    </row>
    <row r="175" spans="11:18" x14ac:dyDescent="0.3">
      <c r="K175">
        <v>164</v>
      </c>
      <c r="L175" s="6">
        <f t="shared" si="13"/>
        <v>7.2775003499524467E+17</v>
      </c>
      <c r="N175" s="13">
        <f t="shared" si="14"/>
        <v>4100</v>
      </c>
      <c r="O175">
        <f t="shared" si="17"/>
        <v>177500008535425.53</v>
      </c>
      <c r="Q175">
        <f t="shared" si="15"/>
        <v>102.5</v>
      </c>
      <c r="R175">
        <f t="shared" si="16"/>
        <v>41</v>
      </c>
    </row>
    <row r="176" spans="11:18" x14ac:dyDescent="0.3">
      <c r="K176">
        <v>165</v>
      </c>
      <c r="L176" s="6">
        <f t="shared" si="13"/>
        <v>8.878550426941984E+17</v>
      </c>
      <c r="N176" s="13">
        <f t="shared" si="14"/>
        <v>4125</v>
      </c>
      <c r="O176">
        <f t="shared" si="17"/>
        <v>215237586107684.47</v>
      </c>
      <c r="Q176">
        <f t="shared" si="15"/>
        <v>103.125</v>
      </c>
      <c r="R176">
        <f t="shared" si="16"/>
        <v>41.25</v>
      </c>
    </row>
    <row r="177" spans="11:18" x14ac:dyDescent="0.3">
      <c r="K177">
        <v>166</v>
      </c>
      <c r="L177" s="6">
        <f t="shared" si="13"/>
        <v>1.0831831520869219E+18</v>
      </c>
      <c r="N177" s="13">
        <f t="shared" si="14"/>
        <v>4150</v>
      </c>
      <c r="O177">
        <f t="shared" si="17"/>
        <v>261007988454679.97</v>
      </c>
      <c r="Q177">
        <f t="shared" si="15"/>
        <v>103.75</v>
      </c>
      <c r="R177">
        <f t="shared" si="16"/>
        <v>41.5</v>
      </c>
    </row>
    <row r="178" spans="11:18" x14ac:dyDescent="0.3">
      <c r="K178">
        <v>167</v>
      </c>
      <c r="L178" s="6">
        <f t="shared" si="13"/>
        <v>1.3214834455460449E+18</v>
      </c>
      <c r="N178" s="13">
        <f t="shared" si="14"/>
        <v>4175</v>
      </c>
      <c r="O178">
        <f t="shared" si="17"/>
        <v>316522980969112.56</v>
      </c>
      <c r="Q178">
        <f t="shared" si="15"/>
        <v>104.375</v>
      </c>
      <c r="R178">
        <f t="shared" si="16"/>
        <v>41.75</v>
      </c>
    </row>
    <row r="179" spans="11:18" x14ac:dyDescent="0.3">
      <c r="K179">
        <v>168</v>
      </c>
      <c r="L179" s="6">
        <f t="shared" si="13"/>
        <v>1.6122098035661745E+18</v>
      </c>
      <c r="N179" s="13">
        <f t="shared" si="14"/>
        <v>4200</v>
      </c>
      <c r="O179">
        <f t="shared" si="17"/>
        <v>383859477039565.38</v>
      </c>
      <c r="Q179">
        <f t="shared" si="15"/>
        <v>105</v>
      </c>
      <c r="R179">
        <f t="shared" si="16"/>
        <v>42</v>
      </c>
    </row>
    <row r="180" spans="11:18" x14ac:dyDescent="0.3">
      <c r="K180">
        <v>169</v>
      </c>
      <c r="L180" s="6">
        <f t="shared" si="13"/>
        <v>1.9668959603507328E+18</v>
      </c>
      <c r="N180" s="13">
        <f t="shared" si="14"/>
        <v>4225</v>
      </c>
      <c r="O180">
        <f t="shared" si="17"/>
        <v>465537505408457.44</v>
      </c>
      <c r="Q180">
        <f t="shared" si="15"/>
        <v>105.625</v>
      </c>
      <c r="R180">
        <f t="shared" si="16"/>
        <v>42.25</v>
      </c>
    </row>
    <row r="181" spans="11:18" x14ac:dyDescent="0.3">
      <c r="K181">
        <v>170</v>
      </c>
      <c r="L181" s="6">
        <f t="shared" si="13"/>
        <v>2.3996130716278938E+18</v>
      </c>
      <c r="N181" s="13">
        <f t="shared" si="14"/>
        <v>4250</v>
      </c>
      <c r="O181">
        <f t="shared" si="17"/>
        <v>564614840383033.88</v>
      </c>
      <c r="Q181">
        <f t="shared" si="15"/>
        <v>106.25</v>
      </c>
      <c r="R181">
        <f t="shared" si="16"/>
        <v>42.5</v>
      </c>
    </row>
    <row r="182" spans="11:18" x14ac:dyDescent="0.3">
      <c r="K182">
        <v>171</v>
      </c>
      <c r="L182" s="6">
        <f t="shared" si="13"/>
        <v>2.9275279473860306E+18</v>
      </c>
      <c r="N182" s="13">
        <f t="shared" si="14"/>
        <v>4275</v>
      </c>
      <c r="O182">
        <f t="shared" si="17"/>
        <v>684801859037668</v>
      </c>
      <c r="Q182">
        <f t="shared" si="15"/>
        <v>106.875</v>
      </c>
      <c r="R182">
        <f t="shared" si="16"/>
        <v>42.75</v>
      </c>
    </row>
    <row r="183" spans="11:18" x14ac:dyDescent="0.3">
      <c r="K183">
        <v>172</v>
      </c>
      <c r="L183" s="6">
        <f t="shared" si="13"/>
        <v>3.5715840958109568E+18</v>
      </c>
      <c r="N183" s="13">
        <f t="shared" si="14"/>
        <v>4300</v>
      </c>
      <c r="O183">
        <f t="shared" si="17"/>
        <v>830600952514176</v>
      </c>
      <c r="Q183">
        <f t="shared" si="15"/>
        <v>107.5</v>
      </c>
      <c r="R183">
        <f t="shared" si="16"/>
        <v>43</v>
      </c>
    </row>
    <row r="184" spans="11:18" x14ac:dyDescent="0.3">
      <c r="K184">
        <v>173</v>
      </c>
      <c r="L184" s="6">
        <f t="shared" si="13"/>
        <v>4.357332596889367E+18</v>
      </c>
      <c r="N184" s="13">
        <f t="shared" si="14"/>
        <v>4325</v>
      </c>
      <c r="O184">
        <f t="shared" si="17"/>
        <v>1007475744945518.4</v>
      </c>
      <c r="Q184">
        <f t="shared" si="15"/>
        <v>108.125</v>
      </c>
      <c r="R184">
        <f t="shared" si="16"/>
        <v>43.25</v>
      </c>
    </row>
    <row r="185" spans="11:18" x14ac:dyDescent="0.3">
      <c r="K185">
        <v>174</v>
      </c>
      <c r="L185" s="6">
        <f t="shared" si="13"/>
        <v>5.3159457682050273E+18</v>
      </c>
      <c r="N185" s="13">
        <f t="shared" si="14"/>
        <v>4350</v>
      </c>
      <c r="O185">
        <f t="shared" si="17"/>
        <v>1222056498437937.3</v>
      </c>
      <c r="Q185">
        <f t="shared" si="15"/>
        <v>108.75</v>
      </c>
      <c r="R185">
        <f t="shared" si="16"/>
        <v>43.5</v>
      </c>
    </row>
    <row r="186" spans="11:18" x14ac:dyDescent="0.3">
      <c r="K186">
        <v>175</v>
      </c>
      <c r="L186" s="6">
        <f t="shared" si="13"/>
        <v>6.4854538372101335E+18</v>
      </c>
      <c r="N186" s="13">
        <f t="shared" si="14"/>
        <v>4375</v>
      </c>
      <c r="O186">
        <f t="shared" si="17"/>
        <v>1482389448505173.3</v>
      </c>
      <c r="Q186">
        <f t="shared" si="15"/>
        <v>109.375</v>
      </c>
      <c r="R186">
        <f t="shared" si="16"/>
        <v>43.75</v>
      </c>
    </row>
    <row r="187" spans="11:18" x14ac:dyDescent="0.3">
      <c r="K187">
        <v>176</v>
      </c>
      <c r="L187" s="6">
        <f t="shared" si="13"/>
        <v>7.9122536813963622E+18</v>
      </c>
      <c r="N187" s="13">
        <f t="shared" si="14"/>
        <v>4400</v>
      </c>
      <c r="O187">
        <f t="shared" si="17"/>
        <v>1798239473044627.8</v>
      </c>
      <c r="Q187">
        <f t="shared" si="15"/>
        <v>110</v>
      </c>
      <c r="R187">
        <f t="shared" si="16"/>
        <v>44</v>
      </c>
    </row>
    <row r="188" spans="11:18" x14ac:dyDescent="0.3">
      <c r="K188">
        <v>177</v>
      </c>
      <c r="L188" s="6">
        <f t="shared" si="13"/>
        <v>9.6529494913035612E+18</v>
      </c>
      <c r="N188" s="13">
        <f t="shared" si="14"/>
        <v>4425</v>
      </c>
      <c r="O188">
        <f t="shared" si="17"/>
        <v>2181457512158997</v>
      </c>
      <c r="Q188">
        <f t="shared" si="15"/>
        <v>110.625</v>
      </c>
      <c r="R188">
        <f t="shared" si="16"/>
        <v>44.25</v>
      </c>
    </row>
    <row r="189" spans="11:18" x14ac:dyDescent="0.3">
      <c r="K189">
        <v>178</v>
      </c>
      <c r="L189" s="6">
        <f t="shared" si="13"/>
        <v>1.1776598379390345E+19</v>
      </c>
      <c r="N189" s="13">
        <f t="shared" si="14"/>
        <v>4450</v>
      </c>
      <c r="O189">
        <f t="shared" si="17"/>
        <v>2646426602110190</v>
      </c>
      <c r="Q189">
        <f t="shared" si="15"/>
        <v>111.25</v>
      </c>
      <c r="R189">
        <f t="shared" si="16"/>
        <v>44.5</v>
      </c>
    </row>
    <row r="190" spans="11:18" x14ac:dyDescent="0.3">
      <c r="K190">
        <v>179</v>
      </c>
      <c r="L190" s="6">
        <f t="shared" si="13"/>
        <v>1.4367450022856221E+19</v>
      </c>
      <c r="N190" s="13">
        <f t="shared" si="14"/>
        <v>4475</v>
      </c>
      <c r="O190">
        <f t="shared" si="17"/>
        <v>3210603357062842.5</v>
      </c>
      <c r="Q190">
        <f t="shared" si="15"/>
        <v>111.875</v>
      </c>
      <c r="R190">
        <f t="shared" si="16"/>
        <v>44.75</v>
      </c>
    </row>
    <row r="191" spans="11:18" x14ac:dyDescent="0.3">
      <c r="K191">
        <v>180</v>
      </c>
      <c r="L191" s="6">
        <f t="shared" si="13"/>
        <v>1.7528289027884585E+19</v>
      </c>
      <c r="N191" s="13">
        <f t="shared" si="14"/>
        <v>4500</v>
      </c>
      <c r="O191">
        <f t="shared" si="17"/>
        <v>3895175339529908</v>
      </c>
      <c r="Q191">
        <f t="shared" si="15"/>
        <v>112.5</v>
      </c>
      <c r="R191">
        <f t="shared" si="16"/>
        <v>45</v>
      </c>
    </row>
    <row r="192" spans="11:18" x14ac:dyDescent="0.3">
      <c r="K192">
        <v>181</v>
      </c>
      <c r="L192" s="6">
        <f t="shared" si="13"/>
        <v>2.1384512614019195E+19</v>
      </c>
      <c r="N192" s="13">
        <f t="shared" si="14"/>
        <v>4525</v>
      </c>
      <c r="O192">
        <f t="shared" si="17"/>
        <v>4725859141219712</v>
      </c>
      <c r="Q192">
        <f t="shared" si="15"/>
        <v>113.125</v>
      </c>
      <c r="R192">
        <f t="shared" si="16"/>
        <v>45.25</v>
      </c>
    </row>
    <row r="193" spans="11:18" x14ac:dyDescent="0.3">
      <c r="K193">
        <v>182</v>
      </c>
      <c r="L193" s="6">
        <f t="shared" si="13"/>
        <v>2.6089105389103415E+19</v>
      </c>
      <c r="N193" s="13">
        <f t="shared" si="14"/>
        <v>4550</v>
      </c>
      <c r="O193">
        <f t="shared" si="17"/>
        <v>5733869316286465</v>
      </c>
      <c r="Q193">
        <f t="shared" si="15"/>
        <v>113.75</v>
      </c>
      <c r="R193">
        <f t="shared" si="16"/>
        <v>45.5</v>
      </c>
    </row>
    <row r="194" spans="11:18" x14ac:dyDescent="0.3">
      <c r="K194">
        <v>183</v>
      </c>
      <c r="L194" s="6">
        <f t="shared" si="13"/>
        <v>3.1828708574706176E+19</v>
      </c>
      <c r="N194" s="13">
        <f t="shared" si="14"/>
        <v>4575</v>
      </c>
      <c r="O194">
        <f t="shared" si="17"/>
        <v>6957094770427579</v>
      </c>
      <c r="Q194">
        <f t="shared" si="15"/>
        <v>114.375</v>
      </c>
      <c r="R194">
        <f t="shared" si="16"/>
        <v>45.75</v>
      </c>
    </row>
    <row r="195" spans="11:18" x14ac:dyDescent="0.3">
      <c r="K195">
        <v>184</v>
      </c>
      <c r="L195" s="6">
        <f t="shared" si="13"/>
        <v>3.8831024461141524E+19</v>
      </c>
      <c r="N195" s="13">
        <f t="shared" si="14"/>
        <v>4600</v>
      </c>
      <c r="O195">
        <f t="shared" si="17"/>
        <v>8441527056769897</v>
      </c>
      <c r="Q195">
        <f t="shared" si="15"/>
        <v>115</v>
      </c>
      <c r="R195">
        <f t="shared" si="16"/>
        <v>46</v>
      </c>
    </row>
    <row r="196" spans="11:18" x14ac:dyDescent="0.3">
      <c r="K196">
        <v>185</v>
      </c>
      <c r="L196" s="6">
        <f t="shared" si="13"/>
        <v>4.7373849842592653E+19</v>
      </c>
      <c r="N196" s="13">
        <f t="shared" si="14"/>
        <v>4625</v>
      </c>
      <c r="O196">
        <f t="shared" si="17"/>
        <v>1.0242994560560574E+16</v>
      </c>
      <c r="Q196">
        <f t="shared" si="15"/>
        <v>115.625</v>
      </c>
      <c r="R196">
        <f t="shared" si="16"/>
        <v>46.25</v>
      </c>
    </row>
    <row r="197" spans="11:18" x14ac:dyDescent="0.3">
      <c r="K197">
        <v>186</v>
      </c>
      <c r="L197" s="6">
        <f t="shared" si="13"/>
        <v>5.779609680796305E+19</v>
      </c>
      <c r="N197" s="13">
        <f t="shared" si="14"/>
        <v>4650</v>
      </c>
      <c r="O197">
        <f t="shared" si="17"/>
        <v>1.2429268130744742E+16</v>
      </c>
      <c r="Q197">
        <f t="shared" si="15"/>
        <v>116.25</v>
      </c>
      <c r="R197">
        <f t="shared" si="16"/>
        <v>46.5</v>
      </c>
    </row>
    <row r="198" spans="11:18" x14ac:dyDescent="0.3">
      <c r="K198">
        <v>187</v>
      </c>
      <c r="L198" s="6">
        <f t="shared" si="13"/>
        <v>7.0511238105714901E+19</v>
      </c>
      <c r="N198" s="13">
        <f t="shared" si="14"/>
        <v>4675</v>
      </c>
      <c r="O198">
        <f t="shared" si="17"/>
        <v>1.5082617776623508E+16</v>
      </c>
      <c r="Q198">
        <f t="shared" si="15"/>
        <v>116.875</v>
      </c>
      <c r="R198">
        <f t="shared" si="16"/>
        <v>46.75</v>
      </c>
    </row>
    <row r="199" spans="11:18" x14ac:dyDescent="0.3">
      <c r="K199">
        <v>188</v>
      </c>
      <c r="L199" s="6">
        <f t="shared" si="13"/>
        <v>8.6023710488972198E+19</v>
      </c>
      <c r="N199" s="13">
        <f t="shared" si="14"/>
        <v>4700</v>
      </c>
      <c r="O199">
        <f t="shared" si="17"/>
        <v>1.8302917125313232E+16</v>
      </c>
      <c r="Q199">
        <f t="shared" si="15"/>
        <v>117.5</v>
      </c>
      <c r="R199">
        <f t="shared" si="16"/>
        <v>47</v>
      </c>
    </row>
    <row r="200" spans="11:18" x14ac:dyDescent="0.3">
      <c r="K200">
        <v>189</v>
      </c>
      <c r="L200" s="6">
        <f t="shared" si="13"/>
        <v>1.0494892679654606E+20</v>
      </c>
      <c r="N200" s="13">
        <f t="shared" si="14"/>
        <v>4725</v>
      </c>
      <c r="O200">
        <f t="shared" si="17"/>
        <v>2.2211413078634088E+16</v>
      </c>
      <c r="Q200">
        <f t="shared" si="15"/>
        <v>118.125</v>
      </c>
      <c r="R200">
        <f t="shared" si="16"/>
        <v>47.25</v>
      </c>
    </row>
    <row r="201" spans="11:18" x14ac:dyDescent="0.3">
      <c r="K201">
        <v>190</v>
      </c>
      <c r="L201" s="6">
        <f t="shared" si="13"/>
        <v>1.2803769069178618E+20</v>
      </c>
      <c r="N201" s="13">
        <f t="shared" si="14"/>
        <v>4750</v>
      </c>
      <c r="O201">
        <f t="shared" si="17"/>
        <v>2.6955303303533932E+16</v>
      </c>
      <c r="Q201">
        <f t="shared" si="15"/>
        <v>118.75</v>
      </c>
      <c r="R201">
        <f t="shared" si="16"/>
        <v>47.5</v>
      </c>
    </row>
    <row r="202" spans="11:18" x14ac:dyDescent="0.3">
      <c r="K202">
        <v>191</v>
      </c>
      <c r="L202" s="6">
        <f t="shared" si="13"/>
        <v>1.5620598264397912E+20</v>
      </c>
      <c r="N202" s="13">
        <f t="shared" si="14"/>
        <v>4775</v>
      </c>
      <c r="O202">
        <f t="shared" si="17"/>
        <v>3.2713294794550604E+16</v>
      </c>
      <c r="Q202">
        <f t="shared" si="15"/>
        <v>119.375</v>
      </c>
      <c r="R202">
        <f t="shared" si="16"/>
        <v>47.75</v>
      </c>
    </row>
    <row r="203" spans="11:18" x14ac:dyDescent="0.3">
      <c r="K203">
        <v>192</v>
      </c>
      <c r="L203" s="6">
        <f t="shared" si="13"/>
        <v>1.9057129882565453E+20</v>
      </c>
      <c r="N203" s="13">
        <f t="shared" si="14"/>
        <v>4800</v>
      </c>
      <c r="O203">
        <f t="shared" si="17"/>
        <v>3.970235392201136E+16</v>
      </c>
      <c r="Q203">
        <f t="shared" si="15"/>
        <v>120</v>
      </c>
      <c r="R203">
        <f t="shared" si="16"/>
        <v>48</v>
      </c>
    </row>
    <row r="204" spans="11:18" x14ac:dyDescent="0.3">
      <c r="K204">
        <v>193</v>
      </c>
      <c r="L204" s="6">
        <f t="shared" ref="L204:L267" si="18">$I$6*($I$7^K204)</f>
        <v>2.3249698456729849E+20</v>
      </c>
      <c r="N204" s="13">
        <f t="shared" ref="N204:N267" si="19">K204*$I$8</f>
        <v>4825</v>
      </c>
      <c r="O204">
        <f t="shared" si="17"/>
        <v>4.8185903537263936E+16</v>
      </c>
      <c r="Q204">
        <f t="shared" ref="Q204:Q267" si="20">K204*$I$11</f>
        <v>120.625</v>
      </c>
      <c r="R204">
        <f t="shared" ref="R204:R267" si="21">K204*$I$12</f>
        <v>48.25</v>
      </c>
    </row>
    <row r="205" spans="11:18" x14ac:dyDescent="0.3">
      <c r="K205">
        <v>194</v>
      </c>
      <c r="L205" s="6">
        <f t="shared" si="18"/>
        <v>2.8364632117210418E+20</v>
      </c>
      <c r="N205" s="13">
        <f t="shared" si="19"/>
        <v>4850</v>
      </c>
      <c r="O205">
        <f t="shared" si="17"/>
        <v>5.8483777561258592E+16</v>
      </c>
      <c r="Q205">
        <f t="shared" si="20"/>
        <v>121.25</v>
      </c>
      <c r="R205">
        <f t="shared" si="21"/>
        <v>48.5</v>
      </c>
    </row>
    <row r="206" spans="11:18" x14ac:dyDescent="0.3">
      <c r="K206">
        <v>195</v>
      </c>
      <c r="L206" s="6">
        <f t="shared" si="18"/>
        <v>3.4604851182996711E+20</v>
      </c>
      <c r="N206" s="13">
        <f t="shared" si="19"/>
        <v>4875</v>
      </c>
      <c r="O206">
        <f t="shared" si="17"/>
        <v>7.0984310118967616E+16</v>
      </c>
      <c r="Q206">
        <f t="shared" si="20"/>
        <v>121.875</v>
      </c>
      <c r="R206">
        <f t="shared" si="21"/>
        <v>48.75</v>
      </c>
    </row>
    <row r="207" spans="11:18" x14ac:dyDescent="0.3">
      <c r="K207">
        <v>196</v>
      </c>
      <c r="L207" s="6">
        <f t="shared" si="18"/>
        <v>4.2217918443255975E+20</v>
      </c>
      <c r="N207" s="13">
        <f t="shared" si="19"/>
        <v>4900</v>
      </c>
      <c r="O207">
        <f t="shared" si="17"/>
        <v>8.615901723113464E+16</v>
      </c>
      <c r="Q207">
        <f t="shared" si="20"/>
        <v>122.5</v>
      </c>
      <c r="R207">
        <f t="shared" si="21"/>
        <v>49</v>
      </c>
    </row>
    <row r="208" spans="11:18" x14ac:dyDescent="0.3">
      <c r="K208">
        <v>197</v>
      </c>
      <c r="L208" s="6">
        <f t="shared" si="18"/>
        <v>5.1505860500772304E+20</v>
      </c>
      <c r="N208" s="13">
        <f t="shared" si="19"/>
        <v>4925</v>
      </c>
      <c r="O208">
        <f t="shared" ref="O208:O271" si="22">L208/N208</f>
        <v>1.0458042741273565E+17</v>
      </c>
      <c r="Q208">
        <f t="shared" si="20"/>
        <v>123.125</v>
      </c>
      <c r="R208">
        <f t="shared" si="21"/>
        <v>49.25</v>
      </c>
    </row>
    <row r="209" spans="11:18" x14ac:dyDescent="0.3">
      <c r="K209">
        <v>198</v>
      </c>
      <c r="L209" s="6">
        <f t="shared" si="18"/>
        <v>6.2837149810942201E+20</v>
      </c>
      <c r="N209" s="13">
        <f t="shared" si="19"/>
        <v>4950</v>
      </c>
      <c r="O209">
        <f t="shared" si="22"/>
        <v>1.2694373699180243E+17</v>
      </c>
      <c r="Q209">
        <f t="shared" si="20"/>
        <v>123.75</v>
      </c>
      <c r="R209">
        <f t="shared" si="21"/>
        <v>49.5</v>
      </c>
    </row>
    <row r="210" spans="11:18" x14ac:dyDescent="0.3">
      <c r="K210">
        <v>199</v>
      </c>
      <c r="L210" s="6">
        <f t="shared" si="18"/>
        <v>7.6661322769349476E+20</v>
      </c>
      <c r="N210" s="13">
        <f t="shared" si="19"/>
        <v>4975</v>
      </c>
      <c r="O210">
        <f t="shared" si="22"/>
        <v>1.5409311109416979E+17</v>
      </c>
      <c r="Q210">
        <f t="shared" si="20"/>
        <v>124.375</v>
      </c>
      <c r="R210">
        <f t="shared" si="21"/>
        <v>49.75</v>
      </c>
    </row>
    <row r="211" spans="11:18" x14ac:dyDescent="0.3">
      <c r="K211">
        <v>200</v>
      </c>
      <c r="L211" s="6">
        <f t="shared" si="18"/>
        <v>9.3526813778606359E+20</v>
      </c>
      <c r="N211" s="13">
        <f t="shared" si="19"/>
        <v>5000</v>
      </c>
      <c r="O211">
        <f t="shared" si="22"/>
        <v>1.870536275572127E+17</v>
      </c>
      <c r="Q211">
        <f t="shared" si="20"/>
        <v>125</v>
      </c>
      <c r="R211">
        <f t="shared" si="21"/>
        <v>50</v>
      </c>
    </row>
    <row r="212" spans="11:18" x14ac:dyDescent="0.3">
      <c r="K212">
        <v>201</v>
      </c>
      <c r="L212" s="6">
        <f t="shared" si="18"/>
        <v>1.1410271280989975E+21</v>
      </c>
      <c r="N212" s="13">
        <f t="shared" si="19"/>
        <v>5025</v>
      </c>
      <c r="O212">
        <f t="shared" si="22"/>
        <v>2.270700752435816E+17</v>
      </c>
      <c r="Q212">
        <f t="shared" si="20"/>
        <v>125.625</v>
      </c>
      <c r="R212">
        <f t="shared" si="21"/>
        <v>50.25</v>
      </c>
    </row>
    <row r="213" spans="11:18" x14ac:dyDescent="0.3">
      <c r="K213">
        <v>202</v>
      </c>
      <c r="L213" s="6">
        <f t="shared" si="18"/>
        <v>1.392053096280777E+21</v>
      </c>
      <c r="N213" s="13">
        <f t="shared" si="19"/>
        <v>5050</v>
      </c>
      <c r="O213">
        <f t="shared" si="22"/>
        <v>2.7565407847144099E+17</v>
      </c>
      <c r="Q213">
        <f t="shared" si="20"/>
        <v>126.25</v>
      </c>
      <c r="R213">
        <f t="shared" si="21"/>
        <v>50.5</v>
      </c>
    </row>
    <row r="214" spans="11:18" x14ac:dyDescent="0.3">
      <c r="K214">
        <v>203</v>
      </c>
      <c r="L214" s="6">
        <f t="shared" si="18"/>
        <v>1.6983047774625475E+21</v>
      </c>
      <c r="N214" s="13">
        <f t="shared" si="19"/>
        <v>5075</v>
      </c>
      <c r="O214">
        <f t="shared" si="22"/>
        <v>3.3464133546060051E+17</v>
      </c>
      <c r="Q214">
        <f t="shared" si="20"/>
        <v>126.875</v>
      </c>
      <c r="R214">
        <f t="shared" si="21"/>
        <v>50.75</v>
      </c>
    </row>
    <row r="215" spans="11:18" x14ac:dyDescent="0.3">
      <c r="K215">
        <v>204</v>
      </c>
      <c r="L215" s="6">
        <f t="shared" si="18"/>
        <v>2.0719318285043082E+21</v>
      </c>
      <c r="N215" s="13">
        <f t="shared" si="19"/>
        <v>5100</v>
      </c>
      <c r="O215">
        <f t="shared" si="22"/>
        <v>4.0626114284398202E+17</v>
      </c>
      <c r="Q215">
        <f t="shared" si="20"/>
        <v>127.5</v>
      </c>
      <c r="R215">
        <f t="shared" si="21"/>
        <v>51</v>
      </c>
    </row>
    <row r="216" spans="11:18" x14ac:dyDescent="0.3">
      <c r="K216">
        <v>205</v>
      </c>
      <c r="L216" s="6">
        <f t="shared" si="18"/>
        <v>2.5277568307752558E+21</v>
      </c>
      <c r="N216" s="13">
        <f t="shared" si="19"/>
        <v>5125</v>
      </c>
      <c r="O216">
        <f t="shared" si="22"/>
        <v>4.9322084502931821E+17</v>
      </c>
      <c r="Q216">
        <f t="shared" si="20"/>
        <v>128.125</v>
      </c>
      <c r="R216">
        <f t="shared" si="21"/>
        <v>51.25</v>
      </c>
    </row>
    <row r="217" spans="11:18" x14ac:dyDescent="0.3">
      <c r="K217">
        <v>206</v>
      </c>
      <c r="L217" s="6">
        <f t="shared" si="18"/>
        <v>3.0838633335458119E+21</v>
      </c>
      <c r="N217" s="13">
        <f t="shared" si="19"/>
        <v>5150</v>
      </c>
      <c r="O217">
        <f t="shared" si="22"/>
        <v>5.9880841428074022E+17</v>
      </c>
      <c r="Q217">
        <f t="shared" si="20"/>
        <v>128.75</v>
      </c>
      <c r="R217">
        <f t="shared" si="21"/>
        <v>51.5</v>
      </c>
    </row>
    <row r="218" spans="11:18" x14ac:dyDescent="0.3">
      <c r="K218">
        <v>207</v>
      </c>
      <c r="L218" s="6">
        <f t="shared" si="18"/>
        <v>3.7623132669258907E+21</v>
      </c>
      <c r="N218" s="13">
        <f t="shared" si="19"/>
        <v>5175</v>
      </c>
      <c r="O218">
        <f t="shared" si="22"/>
        <v>7.2701705641080013E+17</v>
      </c>
      <c r="Q218">
        <f t="shared" si="20"/>
        <v>129.375</v>
      </c>
      <c r="R218">
        <f t="shared" si="21"/>
        <v>51.75</v>
      </c>
    </row>
    <row r="219" spans="11:18" x14ac:dyDescent="0.3">
      <c r="K219">
        <v>208</v>
      </c>
      <c r="L219" s="6">
        <f t="shared" si="18"/>
        <v>4.590022185649586E+21</v>
      </c>
      <c r="N219" s="13">
        <f t="shared" si="19"/>
        <v>5200</v>
      </c>
      <c r="O219">
        <f t="shared" si="22"/>
        <v>8.8269657416338189E+17</v>
      </c>
      <c r="Q219">
        <f t="shared" si="20"/>
        <v>130</v>
      </c>
      <c r="R219">
        <f t="shared" si="21"/>
        <v>52</v>
      </c>
    </row>
    <row r="220" spans="11:18" x14ac:dyDescent="0.3">
      <c r="K220">
        <v>209</v>
      </c>
      <c r="L220" s="6">
        <f t="shared" si="18"/>
        <v>5.5998270664924945E+21</v>
      </c>
      <c r="N220" s="13">
        <f t="shared" si="19"/>
        <v>5225</v>
      </c>
      <c r="O220">
        <f t="shared" si="22"/>
        <v>1.071737237606219E+18</v>
      </c>
      <c r="Q220">
        <f t="shared" si="20"/>
        <v>130.625</v>
      </c>
      <c r="R220">
        <f t="shared" si="21"/>
        <v>52.25</v>
      </c>
    </row>
    <row r="221" spans="11:18" x14ac:dyDescent="0.3">
      <c r="K221">
        <v>210</v>
      </c>
      <c r="L221" s="6">
        <f t="shared" si="18"/>
        <v>6.8317890211208432E+21</v>
      </c>
      <c r="N221" s="13">
        <f t="shared" si="19"/>
        <v>5250</v>
      </c>
      <c r="O221">
        <f t="shared" si="22"/>
        <v>1.3012931468801605E+18</v>
      </c>
      <c r="Q221">
        <f t="shared" si="20"/>
        <v>131.25</v>
      </c>
      <c r="R221">
        <f t="shared" si="21"/>
        <v>52.5</v>
      </c>
    </row>
    <row r="222" spans="11:18" x14ac:dyDescent="0.3">
      <c r="K222">
        <v>211</v>
      </c>
      <c r="L222" s="6">
        <f t="shared" si="18"/>
        <v>8.334782605767428E+21</v>
      </c>
      <c r="N222" s="13">
        <f t="shared" si="19"/>
        <v>5275</v>
      </c>
      <c r="O222">
        <f t="shared" si="22"/>
        <v>1.580053574553067E+18</v>
      </c>
      <c r="Q222">
        <f t="shared" si="20"/>
        <v>131.875</v>
      </c>
      <c r="R222">
        <f t="shared" si="21"/>
        <v>52.75</v>
      </c>
    </row>
    <row r="223" spans="11:18" x14ac:dyDescent="0.3">
      <c r="K223">
        <v>212</v>
      </c>
      <c r="L223" s="6">
        <f t="shared" si="18"/>
        <v>1.0168434779036261E+22</v>
      </c>
      <c r="N223" s="13">
        <f t="shared" si="19"/>
        <v>5300</v>
      </c>
      <c r="O223">
        <f t="shared" si="22"/>
        <v>1.9185725998181624E+18</v>
      </c>
      <c r="Q223">
        <f t="shared" si="20"/>
        <v>132.5</v>
      </c>
      <c r="R223">
        <f t="shared" si="21"/>
        <v>53</v>
      </c>
    </row>
    <row r="224" spans="11:18" x14ac:dyDescent="0.3">
      <c r="K224">
        <v>213</v>
      </c>
      <c r="L224" s="6">
        <f t="shared" si="18"/>
        <v>1.2405490430424239E+22</v>
      </c>
      <c r="N224" s="13">
        <f t="shared" si="19"/>
        <v>5325</v>
      </c>
      <c r="O224">
        <f t="shared" si="22"/>
        <v>2.3296695643989181E+18</v>
      </c>
      <c r="Q224">
        <f t="shared" si="20"/>
        <v>133.125</v>
      </c>
      <c r="R224">
        <f t="shared" si="21"/>
        <v>53.25</v>
      </c>
    </row>
    <row r="225" spans="11:18" x14ac:dyDescent="0.3">
      <c r="K225">
        <v>214</v>
      </c>
      <c r="L225" s="6">
        <f t="shared" si="18"/>
        <v>1.5134698325117571E+22</v>
      </c>
      <c r="N225" s="13">
        <f t="shared" si="19"/>
        <v>5350</v>
      </c>
      <c r="O225">
        <f t="shared" si="22"/>
        <v>2.828915574788331E+18</v>
      </c>
      <c r="Q225">
        <f t="shared" si="20"/>
        <v>133.75</v>
      </c>
      <c r="R225">
        <f t="shared" si="21"/>
        <v>53.5</v>
      </c>
    </row>
    <row r="226" spans="11:18" x14ac:dyDescent="0.3">
      <c r="K226">
        <v>215</v>
      </c>
      <c r="L226" s="6">
        <f t="shared" si="18"/>
        <v>1.8464331956643439E+22</v>
      </c>
      <c r="N226" s="13">
        <f t="shared" si="19"/>
        <v>5375</v>
      </c>
      <c r="O226">
        <f t="shared" si="22"/>
        <v>3.4352245500731981E+18</v>
      </c>
      <c r="Q226">
        <f t="shared" si="20"/>
        <v>134.375</v>
      </c>
      <c r="R226">
        <f t="shared" si="21"/>
        <v>53.75</v>
      </c>
    </row>
    <row r="227" spans="11:18" x14ac:dyDescent="0.3">
      <c r="K227">
        <v>216</v>
      </c>
      <c r="L227" s="6">
        <f t="shared" si="18"/>
        <v>2.2526484987104989E+22</v>
      </c>
      <c r="N227" s="13">
        <f t="shared" si="19"/>
        <v>5400</v>
      </c>
      <c r="O227">
        <f t="shared" si="22"/>
        <v>4.1715712939083315E+18</v>
      </c>
      <c r="Q227">
        <f t="shared" si="20"/>
        <v>135</v>
      </c>
      <c r="R227">
        <f t="shared" si="21"/>
        <v>54</v>
      </c>
    </row>
    <row r="228" spans="11:18" x14ac:dyDescent="0.3">
      <c r="K228">
        <v>217</v>
      </c>
      <c r="L228" s="6">
        <f t="shared" si="18"/>
        <v>2.748231168426809E+22</v>
      </c>
      <c r="N228" s="13">
        <f t="shared" si="19"/>
        <v>5425</v>
      </c>
      <c r="O228">
        <f t="shared" si="22"/>
        <v>5.0658639049342106E+18</v>
      </c>
      <c r="Q228">
        <f t="shared" si="20"/>
        <v>135.625</v>
      </c>
      <c r="R228">
        <f t="shared" si="21"/>
        <v>54.25</v>
      </c>
    </row>
    <row r="229" spans="11:18" x14ac:dyDescent="0.3">
      <c r="K229">
        <v>218</v>
      </c>
      <c r="L229" s="6">
        <f t="shared" si="18"/>
        <v>3.3528420254807067E+22</v>
      </c>
      <c r="N229" s="13">
        <f t="shared" si="19"/>
        <v>5450</v>
      </c>
      <c r="O229">
        <f t="shared" si="22"/>
        <v>6.1520037164783606E+18</v>
      </c>
      <c r="Q229">
        <f t="shared" si="20"/>
        <v>136.25</v>
      </c>
      <c r="R229">
        <f t="shared" si="21"/>
        <v>54.5</v>
      </c>
    </row>
    <row r="230" spans="11:18" x14ac:dyDescent="0.3">
      <c r="K230">
        <v>219</v>
      </c>
      <c r="L230" s="6">
        <f t="shared" si="18"/>
        <v>4.0904672710864614E+22</v>
      </c>
      <c r="N230" s="13">
        <f t="shared" si="19"/>
        <v>5475</v>
      </c>
      <c r="O230">
        <f t="shared" si="22"/>
        <v>7.471173097874815E+18</v>
      </c>
      <c r="Q230">
        <f t="shared" si="20"/>
        <v>136.875</v>
      </c>
      <c r="R230">
        <f t="shared" si="21"/>
        <v>54.75</v>
      </c>
    </row>
    <row r="231" spans="11:18" x14ac:dyDescent="0.3">
      <c r="K231">
        <v>220</v>
      </c>
      <c r="L231" s="6">
        <f t="shared" si="18"/>
        <v>4.9903700707254838E+22</v>
      </c>
      <c r="N231" s="13">
        <f t="shared" si="19"/>
        <v>5500</v>
      </c>
      <c r="O231">
        <f t="shared" si="22"/>
        <v>9.0734001285917891E+18</v>
      </c>
      <c r="Q231">
        <f t="shared" si="20"/>
        <v>137.5</v>
      </c>
      <c r="R231">
        <f t="shared" si="21"/>
        <v>55</v>
      </c>
    </row>
    <row r="232" spans="11:18" x14ac:dyDescent="0.3">
      <c r="K232">
        <v>221</v>
      </c>
      <c r="L232" s="6">
        <f t="shared" si="18"/>
        <v>6.0882514862850884E+22</v>
      </c>
      <c r="N232" s="13">
        <f t="shared" si="19"/>
        <v>5525</v>
      </c>
      <c r="O232">
        <f t="shared" si="22"/>
        <v>1.1019459703683418E+19</v>
      </c>
      <c r="Q232">
        <f t="shared" si="20"/>
        <v>138.125</v>
      </c>
      <c r="R232">
        <f t="shared" si="21"/>
        <v>55.25</v>
      </c>
    </row>
    <row r="233" spans="11:18" x14ac:dyDescent="0.3">
      <c r="K233">
        <v>222</v>
      </c>
      <c r="L233" s="6">
        <f t="shared" si="18"/>
        <v>7.4276668132678082E+22</v>
      </c>
      <c r="N233" s="13">
        <f t="shared" si="19"/>
        <v>5550</v>
      </c>
      <c r="O233">
        <f t="shared" si="22"/>
        <v>1.3383183447329384E+19</v>
      </c>
      <c r="Q233">
        <f t="shared" si="20"/>
        <v>138.75</v>
      </c>
      <c r="R233">
        <f t="shared" si="21"/>
        <v>55.5</v>
      </c>
    </row>
    <row r="234" spans="11:18" x14ac:dyDescent="0.3">
      <c r="K234">
        <v>223</v>
      </c>
      <c r="L234" s="6">
        <f t="shared" si="18"/>
        <v>9.0617535121867263E+22</v>
      </c>
      <c r="N234" s="13">
        <f t="shared" si="19"/>
        <v>5575</v>
      </c>
      <c r="O234">
        <f t="shared" si="22"/>
        <v>1.6254266389572604E+19</v>
      </c>
      <c r="Q234">
        <f t="shared" si="20"/>
        <v>139.375</v>
      </c>
      <c r="R234">
        <f t="shared" si="21"/>
        <v>55.75</v>
      </c>
    </row>
    <row r="235" spans="11:18" x14ac:dyDescent="0.3">
      <c r="K235">
        <v>224</v>
      </c>
      <c r="L235" s="6">
        <f t="shared" si="18"/>
        <v>1.1055339284867806E+23</v>
      </c>
      <c r="N235" s="13">
        <f t="shared" si="19"/>
        <v>5600</v>
      </c>
      <c r="O235">
        <f t="shared" si="22"/>
        <v>1.9741677294406795E+19</v>
      </c>
      <c r="Q235">
        <f t="shared" si="20"/>
        <v>140</v>
      </c>
      <c r="R235">
        <f t="shared" si="21"/>
        <v>56</v>
      </c>
    </row>
    <row r="236" spans="11:18" x14ac:dyDescent="0.3">
      <c r="K236">
        <v>225</v>
      </c>
      <c r="L236" s="6">
        <f t="shared" si="18"/>
        <v>1.3487513927538722E+23</v>
      </c>
      <c r="N236" s="13">
        <f t="shared" si="19"/>
        <v>5625</v>
      </c>
      <c r="O236">
        <f t="shared" si="22"/>
        <v>2.3977802537846616E+19</v>
      </c>
      <c r="Q236">
        <f t="shared" si="20"/>
        <v>140.625</v>
      </c>
      <c r="R236">
        <f t="shared" si="21"/>
        <v>56.25</v>
      </c>
    </row>
    <row r="237" spans="11:18" x14ac:dyDescent="0.3">
      <c r="K237">
        <v>226</v>
      </c>
      <c r="L237" s="6">
        <f t="shared" si="18"/>
        <v>1.6454766991597238E+23</v>
      </c>
      <c r="N237" s="13">
        <f t="shared" si="19"/>
        <v>5650</v>
      </c>
      <c r="O237">
        <f t="shared" si="22"/>
        <v>2.9123481401057059E+19</v>
      </c>
      <c r="Q237">
        <f t="shared" si="20"/>
        <v>141.25</v>
      </c>
      <c r="R237">
        <f t="shared" si="21"/>
        <v>56.5</v>
      </c>
    </row>
    <row r="238" spans="11:18" x14ac:dyDescent="0.3">
      <c r="K238">
        <v>227</v>
      </c>
      <c r="L238" s="6">
        <f t="shared" si="18"/>
        <v>2.0074815729748633E+23</v>
      </c>
      <c r="N238" s="13">
        <f t="shared" si="19"/>
        <v>5675</v>
      </c>
      <c r="O238">
        <f t="shared" si="22"/>
        <v>3.5374124633918296E+19</v>
      </c>
      <c r="Q238">
        <f t="shared" si="20"/>
        <v>141.875</v>
      </c>
      <c r="R238">
        <f t="shared" si="21"/>
        <v>56.75</v>
      </c>
    </row>
    <row r="239" spans="11:18" x14ac:dyDescent="0.3">
      <c r="K239">
        <v>228</v>
      </c>
      <c r="L239" s="6">
        <f t="shared" si="18"/>
        <v>2.4491275190293331E+23</v>
      </c>
      <c r="N239" s="13">
        <f t="shared" si="19"/>
        <v>5700</v>
      </c>
      <c r="O239">
        <f t="shared" si="22"/>
        <v>4.2967149456654967E+19</v>
      </c>
      <c r="Q239">
        <f t="shared" si="20"/>
        <v>142.5</v>
      </c>
      <c r="R239">
        <f t="shared" si="21"/>
        <v>57</v>
      </c>
    </row>
    <row r="240" spans="11:18" x14ac:dyDescent="0.3">
      <c r="K240">
        <v>229</v>
      </c>
      <c r="L240" s="6">
        <f t="shared" si="18"/>
        <v>2.9879355732157861E+23</v>
      </c>
      <c r="N240" s="13">
        <f t="shared" si="19"/>
        <v>5725</v>
      </c>
      <c r="O240">
        <f t="shared" si="22"/>
        <v>5.2191014379315044E+19</v>
      </c>
      <c r="Q240">
        <f t="shared" si="20"/>
        <v>143.125</v>
      </c>
      <c r="R240">
        <f t="shared" si="21"/>
        <v>57.25</v>
      </c>
    </row>
    <row r="241" spans="11:18" x14ac:dyDescent="0.3">
      <c r="K241">
        <v>230</v>
      </c>
      <c r="L241" s="6">
        <f t="shared" si="18"/>
        <v>3.6452813993232584E+23</v>
      </c>
      <c r="N241" s="13">
        <f t="shared" si="19"/>
        <v>5750</v>
      </c>
      <c r="O241">
        <f t="shared" si="22"/>
        <v>6.3396198249100149E+19</v>
      </c>
      <c r="Q241">
        <f t="shared" si="20"/>
        <v>143.75</v>
      </c>
      <c r="R241">
        <f t="shared" si="21"/>
        <v>57.5</v>
      </c>
    </row>
    <row r="242" spans="11:18" x14ac:dyDescent="0.3">
      <c r="K242">
        <v>231</v>
      </c>
      <c r="L242" s="6">
        <f t="shared" si="18"/>
        <v>4.4472433071743764E+23</v>
      </c>
      <c r="N242" s="13">
        <f t="shared" si="19"/>
        <v>5775</v>
      </c>
      <c r="O242">
        <f t="shared" si="22"/>
        <v>7.7008542115573613E+19</v>
      </c>
      <c r="Q242">
        <f t="shared" si="20"/>
        <v>144.375</v>
      </c>
      <c r="R242">
        <f t="shared" si="21"/>
        <v>57.75</v>
      </c>
    </row>
    <row r="243" spans="11:18" x14ac:dyDescent="0.3">
      <c r="K243">
        <v>232</v>
      </c>
      <c r="L243" s="6">
        <f t="shared" si="18"/>
        <v>5.4256368347527374E+23</v>
      </c>
      <c r="N243" s="13">
        <f t="shared" si="19"/>
        <v>5800</v>
      </c>
      <c r="O243">
        <f t="shared" si="22"/>
        <v>9.3545462668150653E+19</v>
      </c>
      <c r="Q243">
        <f t="shared" si="20"/>
        <v>145</v>
      </c>
      <c r="R243">
        <f t="shared" si="21"/>
        <v>58</v>
      </c>
    </row>
    <row r="244" spans="11:18" x14ac:dyDescent="0.3">
      <c r="K244">
        <v>233</v>
      </c>
      <c r="L244" s="6">
        <f t="shared" si="18"/>
        <v>6.6192769383983395E+23</v>
      </c>
      <c r="N244" s="13">
        <f t="shared" si="19"/>
        <v>5825</v>
      </c>
      <c r="O244">
        <f t="shared" si="22"/>
        <v>1.1363565559482127E+20</v>
      </c>
      <c r="Q244">
        <f t="shared" si="20"/>
        <v>145.625</v>
      </c>
      <c r="R244">
        <f t="shared" si="21"/>
        <v>58.25</v>
      </c>
    </row>
    <row r="245" spans="11:18" x14ac:dyDescent="0.3">
      <c r="K245">
        <v>234</v>
      </c>
      <c r="L245" s="6">
        <f t="shared" si="18"/>
        <v>8.075517864845972E+23</v>
      </c>
      <c r="N245" s="13">
        <f t="shared" si="19"/>
        <v>5850</v>
      </c>
      <c r="O245">
        <f t="shared" si="22"/>
        <v>1.3804304042471747E+20</v>
      </c>
      <c r="Q245">
        <f t="shared" si="20"/>
        <v>146.25</v>
      </c>
      <c r="R245">
        <f t="shared" si="21"/>
        <v>58.5</v>
      </c>
    </row>
    <row r="246" spans="11:18" x14ac:dyDescent="0.3">
      <c r="K246">
        <v>235</v>
      </c>
      <c r="L246" s="6">
        <f t="shared" si="18"/>
        <v>9.8521317951120884E+23</v>
      </c>
      <c r="N246" s="13">
        <f t="shared" si="19"/>
        <v>5875</v>
      </c>
      <c r="O246">
        <f t="shared" si="22"/>
        <v>1.6769586034233341E+20</v>
      </c>
      <c r="Q246">
        <f t="shared" si="20"/>
        <v>146.875</v>
      </c>
      <c r="R246">
        <f t="shared" si="21"/>
        <v>58.75</v>
      </c>
    </row>
    <row r="247" spans="11:18" x14ac:dyDescent="0.3">
      <c r="K247">
        <v>236</v>
      </c>
      <c r="L247" s="6">
        <f t="shared" si="18"/>
        <v>1.2019600790036747E+24</v>
      </c>
      <c r="N247" s="13">
        <f t="shared" si="19"/>
        <v>5900</v>
      </c>
      <c r="O247">
        <f t="shared" si="22"/>
        <v>2.037220472887584E+20</v>
      </c>
      <c r="Q247">
        <f t="shared" si="20"/>
        <v>147.5</v>
      </c>
      <c r="R247">
        <f t="shared" si="21"/>
        <v>59</v>
      </c>
    </row>
    <row r="248" spans="11:18" x14ac:dyDescent="0.3">
      <c r="K248">
        <v>237</v>
      </c>
      <c r="L248" s="6">
        <f t="shared" si="18"/>
        <v>1.4663912963844831E+24</v>
      </c>
      <c r="N248" s="13">
        <f t="shared" si="19"/>
        <v>5925</v>
      </c>
      <c r="O248">
        <f t="shared" si="22"/>
        <v>2.4749220192143173E+20</v>
      </c>
      <c r="Q248">
        <f t="shared" si="20"/>
        <v>148.125</v>
      </c>
      <c r="R248">
        <f t="shared" si="21"/>
        <v>59.25</v>
      </c>
    </row>
    <row r="249" spans="11:18" x14ac:dyDescent="0.3">
      <c r="K249">
        <v>238</v>
      </c>
      <c r="L249" s="6">
        <f t="shared" si="18"/>
        <v>1.7889973815890691E+24</v>
      </c>
      <c r="N249" s="13">
        <f t="shared" si="19"/>
        <v>5950</v>
      </c>
      <c r="O249">
        <f t="shared" si="22"/>
        <v>3.0067182883849902E+20</v>
      </c>
      <c r="Q249">
        <f t="shared" si="20"/>
        <v>148.75</v>
      </c>
      <c r="R249">
        <f t="shared" si="21"/>
        <v>59.5</v>
      </c>
    </row>
    <row r="250" spans="11:18" x14ac:dyDescent="0.3">
      <c r="K250">
        <v>239</v>
      </c>
      <c r="L250" s="6">
        <f t="shared" si="18"/>
        <v>2.1825768055386646E+24</v>
      </c>
      <c r="N250" s="13">
        <f t="shared" si="19"/>
        <v>5975</v>
      </c>
      <c r="O250">
        <f t="shared" si="22"/>
        <v>3.6528482101065515E+20</v>
      </c>
      <c r="Q250">
        <f t="shared" si="20"/>
        <v>149.375</v>
      </c>
      <c r="R250">
        <f t="shared" si="21"/>
        <v>59.75</v>
      </c>
    </row>
    <row r="251" spans="11:18" x14ac:dyDescent="0.3">
      <c r="K251">
        <v>240</v>
      </c>
      <c r="L251" s="6">
        <f t="shared" si="18"/>
        <v>2.66274370275717E+24</v>
      </c>
      <c r="N251" s="13">
        <f t="shared" si="19"/>
        <v>6000</v>
      </c>
      <c r="O251">
        <f t="shared" si="22"/>
        <v>4.4379061712619497E+20</v>
      </c>
      <c r="Q251">
        <f t="shared" si="20"/>
        <v>150</v>
      </c>
      <c r="R251">
        <f t="shared" si="21"/>
        <v>60</v>
      </c>
    </row>
    <row r="252" spans="11:18" x14ac:dyDescent="0.3">
      <c r="K252">
        <v>241</v>
      </c>
      <c r="L252" s="6">
        <f t="shared" si="18"/>
        <v>3.2485473173637477E+24</v>
      </c>
      <c r="N252" s="13">
        <f t="shared" si="19"/>
        <v>6025</v>
      </c>
      <c r="O252">
        <f t="shared" si="22"/>
        <v>5.3917797798568428E+20</v>
      </c>
      <c r="Q252">
        <f t="shared" si="20"/>
        <v>150.625</v>
      </c>
      <c r="R252">
        <f t="shared" si="21"/>
        <v>60.25</v>
      </c>
    </row>
    <row r="253" spans="11:18" x14ac:dyDescent="0.3">
      <c r="K253">
        <v>242</v>
      </c>
      <c r="L253" s="6">
        <f t="shared" si="18"/>
        <v>3.9632277271837722E+24</v>
      </c>
      <c r="N253" s="13">
        <f t="shared" si="19"/>
        <v>6050</v>
      </c>
      <c r="O253">
        <f t="shared" si="22"/>
        <v>6.5507896317087148E+20</v>
      </c>
      <c r="Q253">
        <f t="shared" si="20"/>
        <v>151.25</v>
      </c>
      <c r="R253">
        <f t="shared" si="21"/>
        <v>60.5</v>
      </c>
    </row>
    <row r="254" spans="11:18" x14ac:dyDescent="0.3">
      <c r="K254">
        <v>243</v>
      </c>
      <c r="L254" s="6">
        <f t="shared" si="18"/>
        <v>4.8351378271642013E+24</v>
      </c>
      <c r="N254" s="13">
        <f t="shared" si="19"/>
        <v>6075</v>
      </c>
      <c r="O254">
        <f t="shared" si="22"/>
        <v>7.9590746126159695E+20</v>
      </c>
      <c r="Q254">
        <f t="shared" si="20"/>
        <v>151.875</v>
      </c>
      <c r="R254">
        <f t="shared" si="21"/>
        <v>60.75</v>
      </c>
    </row>
    <row r="255" spans="11:18" x14ac:dyDescent="0.3">
      <c r="K255">
        <v>244</v>
      </c>
      <c r="L255" s="6">
        <f t="shared" si="18"/>
        <v>5.898868149140325E+24</v>
      </c>
      <c r="N255" s="13">
        <f t="shared" si="19"/>
        <v>6100</v>
      </c>
      <c r="O255">
        <f t="shared" si="22"/>
        <v>9.6702756543284013E+20</v>
      </c>
      <c r="Q255">
        <f t="shared" si="20"/>
        <v>152.5</v>
      </c>
      <c r="R255">
        <f t="shared" si="21"/>
        <v>61</v>
      </c>
    </row>
    <row r="256" spans="11:18" x14ac:dyDescent="0.3">
      <c r="K256">
        <v>245</v>
      </c>
      <c r="L256" s="6">
        <f t="shared" si="18"/>
        <v>7.1966191419511974E+24</v>
      </c>
      <c r="N256" s="13">
        <f t="shared" si="19"/>
        <v>6125</v>
      </c>
      <c r="O256">
        <f t="shared" si="22"/>
        <v>1.1749582272573384E+21</v>
      </c>
      <c r="Q256">
        <f t="shared" si="20"/>
        <v>153.125</v>
      </c>
      <c r="R256">
        <f t="shared" si="21"/>
        <v>61.25</v>
      </c>
    </row>
    <row r="257" spans="11:18" x14ac:dyDescent="0.3">
      <c r="K257">
        <v>246</v>
      </c>
      <c r="L257" s="6">
        <f t="shared" si="18"/>
        <v>8.7798753531804592E+24</v>
      </c>
      <c r="N257" s="13">
        <f t="shared" si="19"/>
        <v>6150</v>
      </c>
      <c r="O257">
        <f t="shared" si="22"/>
        <v>1.4276220086472291E+21</v>
      </c>
      <c r="Q257">
        <f t="shared" si="20"/>
        <v>153.75</v>
      </c>
      <c r="R257">
        <f t="shared" si="21"/>
        <v>61.5</v>
      </c>
    </row>
    <row r="258" spans="11:18" x14ac:dyDescent="0.3">
      <c r="K258">
        <v>247</v>
      </c>
      <c r="L258" s="6">
        <f t="shared" si="18"/>
        <v>1.0711447930880161E+25</v>
      </c>
      <c r="N258" s="13">
        <f t="shared" si="19"/>
        <v>6175</v>
      </c>
      <c r="O258">
        <f t="shared" si="22"/>
        <v>1.7346474381992164E+21</v>
      </c>
      <c r="Q258">
        <f t="shared" si="20"/>
        <v>154.375</v>
      </c>
      <c r="R258">
        <f t="shared" si="21"/>
        <v>61.75</v>
      </c>
    </row>
    <row r="259" spans="11:18" x14ac:dyDescent="0.3">
      <c r="K259">
        <v>248</v>
      </c>
      <c r="L259" s="6">
        <f t="shared" si="18"/>
        <v>1.3067966475673797E+25</v>
      </c>
      <c r="N259" s="13">
        <f t="shared" si="19"/>
        <v>6200</v>
      </c>
      <c r="O259">
        <f t="shared" si="22"/>
        <v>2.1077365283344834E+21</v>
      </c>
      <c r="Q259">
        <f t="shared" si="20"/>
        <v>155</v>
      </c>
      <c r="R259">
        <f t="shared" si="21"/>
        <v>62</v>
      </c>
    </row>
    <row r="260" spans="11:18" x14ac:dyDescent="0.3">
      <c r="K260">
        <v>249</v>
      </c>
      <c r="L260" s="6">
        <f t="shared" si="18"/>
        <v>1.5942919100322029E+25</v>
      </c>
      <c r="N260" s="13">
        <f t="shared" si="19"/>
        <v>6225</v>
      </c>
      <c r="O260">
        <f t="shared" si="22"/>
        <v>2.5611115020597634E+21</v>
      </c>
      <c r="Q260">
        <f t="shared" si="20"/>
        <v>155.625</v>
      </c>
      <c r="R260">
        <f t="shared" si="21"/>
        <v>62.25</v>
      </c>
    </row>
    <row r="261" spans="11:18" x14ac:dyDescent="0.3">
      <c r="K261">
        <v>250</v>
      </c>
      <c r="L261" s="6">
        <f t="shared" si="18"/>
        <v>1.9450361302392875E+25</v>
      </c>
      <c r="N261" s="13">
        <f t="shared" si="19"/>
        <v>6250</v>
      </c>
      <c r="O261">
        <f t="shared" si="22"/>
        <v>3.1120578083828599E+21</v>
      </c>
      <c r="Q261">
        <f t="shared" si="20"/>
        <v>156.25</v>
      </c>
      <c r="R261">
        <f t="shared" si="21"/>
        <v>62.5</v>
      </c>
    </row>
    <row r="262" spans="11:18" x14ac:dyDescent="0.3">
      <c r="K262">
        <v>251</v>
      </c>
      <c r="L262" s="6">
        <f t="shared" si="18"/>
        <v>2.3729440788919306E+25</v>
      </c>
      <c r="N262" s="13">
        <f t="shared" si="19"/>
        <v>6275</v>
      </c>
      <c r="O262">
        <f t="shared" si="22"/>
        <v>3.7815841894692123E+21</v>
      </c>
      <c r="Q262">
        <f t="shared" si="20"/>
        <v>156.875</v>
      </c>
      <c r="R262">
        <f t="shared" si="21"/>
        <v>62.75</v>
      </c>
    </row>
    <row r="263" spans="11:18" x14ac:dyDescent="0.3">
      <c r="K263">
        <v>252</v>
      </c>
      <c r="L263" s="6">
        <f t="shared" si="18"/>
        <v>2.8949917762481552E+25</v>
      </c>
      <c r="N263" s="13">
        <f t="shared" si="19"/>
        <v>6300</v>
      </c>
      <c r="O263">
        <f t="shared" si="22"/>
        <v>4.5952250416637385E+21</v>
      </c>
      <c r="Q263">
        <f t="shared" si="20"/>
        <v>157.5</v>
      </c>
      <c r="R263">
        <f t="shared" si="21"/>
        <v>63</v>
      </c>
    </row>
    <row r="264" spans="11:18" x14ac:dyDescent="0.3">
      <c r="K264">
        <v>253</v>
      </c>
      <c r="L264" s="6">
        <f t="shared" si="18"/>
        <v>3.5318899670227493E+25</v>
      </c>
      <c r="N264" s="13">
        <f t="shared" si="19"/>
        <v>6325</v>
      </c>
      <c r="O264">
        <f t="shared" si="22"/>
        <v>5.584015758138734E+21</v>
      </c>
      <c r="Q264">
        <f t="shared" si="20"/>
        <v>158.125</v>
      </c>
      <c r="R264">
        <f t="shared" si="21"/>
        <v>63.25</v>
      </c>
    </row>
    <row r="265" spans="11:18" x14ac:dyDescent="0.3">
      <c r="K265">
        <v>254</v>
      </c>
      <c r="L265" s="6">
        <f t="shared" si="18"/>
        <v>4.3089057597677536E+25</v>
      </c>
      <c r="N265" s="13">
        <f t="shared" si="19"/>
        <v>6350</v>
      </c>
      <c r="O265">
        <f t="shared" si="22"/>
        <v>6.7856783618389815E+21</v>
      </c>
      <c r="Q265">
        <f t="shared" si="20"/>
        <v>158.75</v>
      </c>
      <c r="R265">
        <f t="shared" si="21"/>
        <v>63.5</v>
      </c>
    </row>
    <row r="266" spans="11:18" x14ac:dyDescent="0.3">
      <c r="K266">
        <v>255</v>
      </c>
      <c r="L266" s="6">
        <f t="shared" si="18"/>
        <v>5.2568650269166607E+25</v>
      </c>
      <c r="N266" s="13">
        <f t="shared" si="19"/>
        <v>6375</v>
      </c>
      <c r="O266">
        <f t="shared" si="22"/>
        <v>8.2460627873202522E+21</v>
      </c>
      <c r="Q266">
        <f t="shared" si="20"/>
        <v>159.375</v>
      </c>
      <c r="R266">
        <f t="shared" si="21"/>
        <v>63.75</v>
      </c>
    </row>
    <row r="267" spans="11:18" x14ac:dyDescent="0.3">
      <c r="K267">
        <v>256</v>
      </c>
      <c r="L267" s="6">
        <f t="shared" si="18"/>
        <v>6.4133753328383243E+25</v>
      </c>
      <c r="N267" s="13">
        <f t="shared" si="19"/>
        <v>6400</v>
      </c>
      <c r="O267">
        <f t="shared" si="22"/>
        <v>1.0020898957559882E+22</v>
      </c>
      <c r="Q267">
        <f t="shared" si="20"/>
        <v>160</v>
      </c>
      <c r="R267">
        <f t="shared" si="21"/>
        <v>64</v>
      </c>
    </row>
    <row r="268" spans="11:18" x14ac:dyDescent="0.3">
      <c r="K268">
        <v>257</v>
      </c>
      <c r="L268" s="6">
        <f t="shared" ref="L268:L331" si="23">$I$6*($I$7^K268)</f>
        <v>7.8243179060627555E+25</v>
      </c>
      <c r="N268" s="13">
        <f t="shared" ref="N268:N331" si="24">K268*$I$8</f>
        <v>6425</v>
      </c>
      <c r="O268">
        <f t="shared" si="22"/>
        <v>1.2177926702043199E+22</v>
      </c>
      <c r="Q268">
        <f t="shared" ref="Q268:Q331" si="25">K268*$I$11</f>
        <v>160.625</v>
      </c>
      <c r="R268">
        <f t="shared" ref="R268:R331" si="26">K268*$I$12</f>
        <v>64.25</v>
      </c>
    </row>
    <row r="269" spans="11:18" x14ac:dyDescent="0.3">
      <c r="K269">
        <v>258</v>
      </c>
      <c r="L269" s="6">
        <f t="shared" si="23"/>
        <v>9.5456678453965619E+25</v>
      </c>
      <c r="N269" s="13">
        <f t="shared" si="24"/>
        <v>6450</v>
      </c>
      <c r="O269">
        <f t="shared" si="22"/>
        <v>1.4799485031622577E+22</v>
      </c>
      <c r="Q269">
        <f t="shared" si="25"/>
        <v>161.25</v>
      </c>
      <c r="R269">
        <f t="shared" si="26"/>
        <v>64.5</v>
      </c>
    </row>
    <row r="270" spans="11:18" x14ac:dyDescent="0.3">
      <c r="K270">
        <v>259</v>
      </c>
      <c r="L270" s="6">
        <f t="shared" si="23"/>
        <v>1.1645714771383805E+26</v>
      </c>
      <c r="N270" s="13">
        <f t="shared" si="24"/>
        <v>6475</v>
      </c>
      <c r="O270">
        <f t="shared" si="22"/>
        <v>1.7985659878585026E+22</v>
      </c>
      <c r="Q270">
        <f t="shared" si="25"/>
        <v>161.875</v>
      </c>
      <c r="R270">
        <f t="shared" si="26"/>
        <v>64.75</v>
      </c>
    </row>
    <row r="271" spans="11:18" x14ac:dyDescent="0.3">
      <c r="K271">
        <v>260</v>
      </c>
      <c r="L271" s="6">
        <f t="shared" si="23"/>
        <v>1.420777202108824E+26</v>
      </c>
      <c r="N271" s="13">
        <f t="shared" si="24"/>
        <v>6500</v>
      </c>
      <c r="O271">
        <f t="shared" si="22"/>
        <v>2.1858110801674217E+22</v>
      </c>
      <c r="Q271">
        <f t="shared" si="25"/>
        <v>162.5</v>
      </c>
      <c r="R271">
        <f t="shared" si="26"/>
        <v>65</v>
      </c>
    </row>
    <row r="272" spans="11:18" x14ac:dyDescent="0.3">
      <c r="K272">
        <v>261</v>
      </c>
      <c r="L272" s="6">
        <f t="shared" si="23"/>
        <v>1.7333481865727656E+26</v>
      </c>
      <c r="N272" s="13">
        <f t="shared" si="24"/>
        <v>6525</v>
      </c>
      <c r="O272">
        <f t="shared" ref="O272:O331" si="27">L272/N272</f>
        <v>2.656472316586614E+22</v>
      </c>
      <c r="Q272">
        <f t="shared" si="25"/>
        <v>163.125</v>
      </c>
      <c r="R272">
        <f t="shared" si="26"/>
        <v>65.25</v>
      </c>
    </row>
    <row r="273" spans="11:18" x14ac:dyDescent="0.3">
      <c r="K273">
        <v>262</v>
      </c>
      <c r="L273" s="6">
        <f t="shared" si="23"/>
        <v>2.1146847876187737E+26</v>
      </c>
      <c r="N273" s="13">
        <f t="shared" si="24"/>
        <v>6550</v>
      </c>
      <c r="O273">
        <f t="shared" si="27"/>
        <v>3.2285263933111047E+22</v>
      </c>
      <c r="Q273">
        <f t="shared" si="25"/>
        <v>163.75</v>
      </c>
      <c r="R273">
        <f t="shared" si="26"/>
        <v>65.5</v>
      </c>
    </row>
    <row r="274" spans="11:18" x14ac:dyDescent="0.3">
      <c r="K274">
        <v>263</v>
      </c>
      <c r="L274" s="6">
        <f t="shared" si="23"/>
        <v>2.5799154408949037E+26</v>
      </c>
      <c r="N274" s="13">
        <f t="shared" si="24"/>
        <v>6575</v>
      </c>
      <c r="O274">
        <f t="shared" si="27"/>
        <v>3.9238257656196258E+22</v>
      </c>
      <c r="Q274">
        <f t="shared" si="25"/>
        <v>164.375</v>
      </c>
      <c r="R274">
        <f t="shared" si="26"/>
        <v>65.75</v>
      </c>
    </row>
    <row r="275" spans="11:18" x14ac:dyDescent="0.3">
      <c r="K275">
        <v>264</v>
      </c>
      <c r="L275" s="6">
        <f t="shared" si="23"/>
        <v>3.1474968378917824E+26</v>
      </c>
      <c r="N275" s="13">
        <f t="shared" si="24"/>
        <v>6600</v>
      </c>
      <c r="O275">
        <f t="shared" si="27"/>
        <v>4.7689346028663365E+22</v>
      </c>
      <c r="Q275">
        <f t="shared" si="25"/>
        <v>165</v>
      </c>
      <c r="R275">
        <f t="shared" si="26"/>
        <v>66</v>
      </c>
    </row>
    <row r="276" spans="11:18" x14ac:dyDescent="0.3">
      <c r="K276">
        <v>265</v>
      </c>
      <c r="L276" s="6">
        <f t="shared" si="23"/>
        <v>3.839946142227974E+26</v>
      </c>
      <c r="N276" s="13">
        <f t="shared" si="24"/>
        <v>6625</v>
      </c>
      <c r="O276">
        <f t="shared" si="27"/>
        <v>5.7961451203441113E+22</v>
      </c>
      <c r="Q276">
        <f t="shared" si="25"/>
        <v>165.625</v>
      </c>
      <c r="R276">
        <f t="shared" si="26"/>
        <v>66.25</v>
      </c>
    </row>
    <row r="277" spans="11:18" x14ac:dyDescent="0.3">
      <c r="K277">
        <v>266</v>
      </c>
      <c r="L277" s="6">
        <f t="shared" si="23"/>
        <v>4.6847342935181286E+26</v>
      </c>
      <c r="N277" s="13">
        <f t="shared" si="24"/>
        <v>6650</v>
      </c>
      <c r="O277">
        <f t="shared" si="27"/>
        <v>7.0447132233355317E+22</v>
      </c>
      <c r="Q277">
        <f t="shared" si="25"/>
        <v>166.25</v>
      </c>
      <c r="R277">
        <f t="shared" si="26"/>
        <v>66.5</v>
      </c>
    </row>
    <row r="278" spans="11:18" x14ac:dyDescent="0.3">
      <c r="K278">
        <v>267</v>
      </c>
      <c r="L278" s="6">
        <f t="shared" si="23"/>
        <v>5.7153758380921159E+26</v>
      </c>
      <c r="N278" s="13">
        <f t="shared" si="24"/>
        <v>6675</v>
      </c>
      <c r="O278">
        <f t="shared" si="27"/>
        <v>8.5623608061305106E+22</v>
      </c>
      <c r="Q278">
        <f t="shared" si="25"/>
        <v>166.875</v>
      </c>
      <c r="R278">
        <f t="shared" si="26"/>
        <v>66.75</v>
      </c>
    </row>
    <row r="279" spans="11:18" x14ac:dyDescent="0.3">
      <c r="K279">
        <v>268</v>
      </c>
      <c r="L279" s="6">
        <f t="shared" si="23"/>
        <v>6.9727585224723817E+26</v>
      </c>
      <c r="N279" s="13">
        <f t="shared" si="24"/>
        <v>6700</v>
      </c>
      <c r="O279">
        <f t="shared" si="27"/>
        <v>1.0407102272346839E+23</v>
      </c>
      <c r="Q279">
        <f t="shared" si="25"/>
        <v>167.5</v>
      </c>
      <c r="R279">
        <f t="shared" si="26"/>
        <v>67</v>
      </c>
    </row>
    <row r="280" spans="11:18" x14ac:dyDescent="0.3">
      <c r="K280">
        <v>269</v>
      </c>
      <c r="L280" s="6">
        <f t="shared" si="23"/>
        <v>8.5067653974163048E+26</v>
      </c>
      <c r="N280" s="13">
        <f t="shared" si="24"/>
        <v>6725</v>
      </c>
      <c r="O280">
        <f t="shared" si="27"/>
        <v>1.2649465274968483E+23</v>
      </c>
      <c r="Q280">
        <f t="shared" si="25"/>
        <v>168.125</v>
      </c>
      <c r="R280">
        <f t="shared" si="26"/>
        <v>67.25</v>
      </c>
    </row>
    <row r="281" spans="11:18" x14ac:dyDescent="0.3">
      <c r="K281">
        <v>270</v>
      </c>
      <c r="L281" s="6">
        <f t="shared" si="23"/>
        <v>1.0378253784847892E+27</v>
      </c>
      <c r="N281" s="13">
        <f t="shared" si="24"/>
        <v>6750</v>
      </c>
      <c r="O281">
        <f t="shared" si="27"/>
        <v>1.5375190792367249E+23</v>
      </c>
      <c r="Q281">
        <f t="shared" si="25"/>
        <v>168.75</v>
      </c>
      <c r="R281">
        <f t="shared" si="26"/>
        <v>67.5</v>
      </c>
    </row>
    <row r="282" spans="11:18" x14ac:dyDescent="0.3">
      <c r="K282">
        <v>271</v>
      </c>
      <c r="L282" s="6">
        <f t="shared" si="23"/>
        <v>1.2661469617514429E+27</v>
      </c>
      <c r="N282" s="13">
        <f t="shared" si="24"/>
        <v>6775</v>
      </c>
      <c r="O282">
        <f t="shared" si="27"/>
        <v>1.8688516040611702E+23</v>
      </c>
      <c r="Q282">
        <f t="shared" si="25"/>
        <v>169.375</v>
      </c>
      <c r="R282">
        <f t="shared" si="26"/>
        <v>67.75</v>
      </c>
    </row>
    <row r="283" spans="11:18" x14ac:dyDescent="0.3">
      <c r="K283">
        <v>272</v>
      </c>
      <c r="L283" s="6">
        <f t="shared" si="23"/>
        <v>1.54469929333676E+27</v>
      </c>
      <c r="N283" s="13">
        <f t="shared" si="24"/>
        <v>6800</v>
      </c>
      <c r="O283">
        <f t="shared" si="27"/>
        <v>2.2716166078481764E+23</v>
      </c>
      <c r="Q283">
        <f t="shared" si="25"/>
        <v>170</v>
      </c>
      <c r="R283">
        <f t="shared" si="26"/>
        <v>68</v>
      </c>
    </row>
    <row r="284" spans="11:18" x14ac:dyDescent="0.3">
      <c r="K284">
        <v>273</v>
      </c>
      <c r="L284" s="6">
        <f t="shared" si="23"/>
        <v>1.8845331378708471E+27</v>
      </c>
      <c r="N284" s="13">
        <f t="shared" si="24"/>
        <v>6825</v>
      </c>
      <c r="O284">
        <f t="shared" si="27"/>
        <v>2.7612207148290802E+23</v>
      </c>
      <c r="Q284">
        <f t="shared" si="25"/>
        <v>170.625</v>
      </c>
      <c r="R284">
        <f t="shared" si="26"/>
        <v>68.25</v>
      </c>
    </row>
    <row r="285" spans="11:18" x14ac:dyDescent="0.3">
      <c r="K285">
        <v>274</v>
      </c>
      <c r="L285" s="6">
        <f t="shared" si="23"/>
        <v>2.2991304282024334E+27</v>
      </c>
      <c r="N285" s="13">
        <f t="shared" si="24"/>
        <v>6850</v>
      </c>
      <c r="O285">
        <f t="shared" si="27"/>
        <v>3.3563947856969834E+23</v>
      </c>
      <c r="Q285">
        <f t="shared" si="25"/>
        <v>171.25</v>
      </c>
      <c r="R285">
        <f t="shared" si="26"/>
        <v>68.5</v>
      </c>
    </row>
    <row r="286" spans="11:18" x14ac:dyDescent="0.3">
      <c r="K286">
        <v>275</v>
      </c>
      <c r="L286" s="6">
        <f t="shared" si="23"/>
        <v>2.8049391224069686E+27</v>
      </c>
      <c r="N286" s="13">
        <f t="shared" si="24"/>
        <v>6875</v>
      </c>
      <c r="O286">
        <f t="shared" si="27"/>
        <v>4.0799114507737724E+23</v>
      </c>
      <c r="Q286">
        <f t="shared" si="25"/>
        <v>171.875</v>
      </c>
      <c r="R286">
        <f t="shared" si="26"/>
        <v>68.75</v>
      </c>
    </row>
    <row r="287" spans="11:18" x14ac:dyDescent="0.3">
      <c r="K287">
        <v>276</v>
      </c>
      <c r="L287" s="6">
        <f t="shared" si="23"/>
        <v>3.4220257293365013E+27</v>
      </c>
      <c r="N287" s="13">
        <f t="shared" si="24"/>
        <v>6900</v>
      </c>
      <c r="O287">
        <f t="shared" si="27"/>
        <v>4.9594575787485527E+23</v>
      </c>
      <c r="Q287">
        <f t="shared" si="25"/>
        <v>172.5</v>
      </c>
      <c r="R287">
        <f t="shared" si="26"/>
        <v>69</v>
      </c>
    </row>
    <row r="288" spans="11:18" x14ac:dyDescent="0.3">
      <c r="K288">
        <v>277</v>
      </c>
      <c r="L288" s="6">
        <f t="shared" si="23"/>
        <v>4.1748713897905316E+27</v>
      </c>
      <c r="N288" s="13">
        <f t="shared" si="24"/>
        <v>6925</v>
      </c>
      <c r="O288">
        <f t="shared" si="27"/>
        <v>6.0286951477119592E+23</v>
      </c>
      <c r="Q288">
        <f t="shared" si="25"/>
        <v>173.125</v>
      </c>
      <c r="R288">
        <f t="shared" si="26"/>
        <v>69.25</v>
      </c>
    </row>
    <row r="289" spans="11:18" x14ac:dyDescent="0.3">
      <c r="K289">
        <v>278</v>
      </c>
      <c r="L289" s="6">
        <f t="shared" si="23"/>
        <v>5.0933430955444481E+27</v>
      </c>
      <c r="N289" s="13">
        <f t="shared" si="24"/>
        <v>6950</v>
      </c>
      <c r="O289">
        <f t="shared" si="27"/>
        <v>7.3285512166107166E+23</v>
      </c>
      <c r="Q289">
        <f t="shared" si="25"/>
        <v>173.75</v>
      </c>
      <c r="R289">
        <f t="shared" si="26"/>
        <v>69.5</v>
      </c>
    </row>
    <row r="290" spans="11:18" x14ac:dyDescent="0.3">
      <c r="K290">
        <v>279</v>
      </c>
      <c r="L290" s="6">
        <f t="shared" si="23"/>
        <v>6.2138785765642276E+27</v>
      </c>
      <c r="N290" s="13">
        <f t="shared" si="24"/>
        <v>6975</v>
      </c>
      <c r="O290">
        <f t="shared" si="27"/>
        <v>8.9087864896978174E+23</v>
      </c>
      <c r="Q290">
        <f t="shared" si="25"/>
        <v>174.375</v>
      </c>
      <c r="R290">
        <f t="shared" si="26"/>
        <v>69.75</v>
      </c>
    </row>
    <row r="291" spans="11:18" x14ac:dyDescent="0.3">
      <c r="K291">
        <v>280</v>
      </c>
      <c r="L291" s="6">
        <f t="shared" si="23"/>
        <v>7.5809318634083561E+27</v>
      </c>
      <c r="N291" s="13">
        <f t="shared" si="24"/>
        <v>7000</v>
      </c>
      <c r="O291">
        <f t="shared" si="27"/>
        <v>1.0829902662011938E+24</v>
      </c>
      <c r="Q291">
        <f t="shared" si="25"/>
        <v>175</v>
      </c>
      <c r="R291">
        <f t="shared" si="26"/>
        <v>70</v>
      </c>
    </row>
    <row r="292" spans="11:18" x14ac:dyDescent="0.3">
      <c r="K292">
        <v>281</v>
      </c>
      <c r="L292" s="6">
        <f t="shared" si="23"/>
        <v>9.2487368733581946E+27</v>
      </c>
      <c r="N292" s="13">
        <f t="shared" si="24"/>
        <v>7025</v>
      </c>
      <c r="O292">
        <f t="shared" si="27"/>
        <v>1.3165461741435152E+24</v>
      </c>
      <c r="Q292">
        <f t="shared" si="25"/>
        <v>175.625</v>
      </c>
      <c r="R292">
        <f t="shared" si="26"/>
        <v>70.25</v>
      </c>
    </row>
    <row r="293" spans="11:18" x14ac:dyDescent="0.3">
      <c r="K293">
        <v>282</v>
      </c>
      <c r="L293" s="6">
        <f t="shared" si="23"/>
        <v>1.1283458985496996E+28</v>
      </c>
      <c r="N293" s="13">
        <f t="shared" si="24"/>
        <v>7050</v>
      </c>
      <c r="O293">
        <f t="shared" si="27"/>
        <v>1.6004906362407086E+24</v>
      </c>
      <c r="Q293">
        <f t="shared" si="25"/>
        <v>176.25</v>
      </c>
      <c r="R293">
        <f t="shared" si="26"/>
        <v>70.5</v>
      </c>
    </row>
    <row r="294" spans="11:18" x14ac:dyDescent="0.3">
      <c r="K294">
        <v>283</v>
      </c>
      <c r="L294" s="6">
        <f t="shared" si="23"/>
        <v>1.3765819962306335E+28</v>
      </c>
      <c r="N294" s="13">
        <f t="shared" si="24"/>
        <v>7075</v>
      </c>
      <c r="O294">
        <f t="shared" si="27"/>
        <v>1.945698934601602E+24</v>
      </c>
      <c r="Q294">
        <f t="shared" si="25"/>
        <v>176.875</v>
      </c>
      <c r="R294">
        <f t="shared" si="26"/>
        <v>70.75</v>
      </c>
    </row>
    <row r="295" spans="11:18" x14ac:dyDescent="0.3">
      <c r="K295">
        <v>284</v>
      </c>
      <c r="L295" s="6">
        <f t="shared" si="23"/>
        <v>1.6794300354013727E+28</v>
      </c>
      <c r="N295" s="13">
        <f t="shared" si="24"/>
        <v>7100</v>
      </c>
      <c r="O295">
        <f t="shared" si="27"/>
        <v>2.3653944160582715E+24</v>
      </c>
      <c r="Q295">
        <f t="shared" si="25"/>
        <v>177.5</v>
      </c>
      <c r="R295">
        <f t="shared" si="26"/>
        <v>71</v>
      </c>
    </row>
    <row r="296" spans="11:18" x14ac:dyDescent="0.3">
      <c r="K296">
        <v>285</v>
      </c>
      <c r="L296" s="6">
        <f t="shared" si="23"/>
        <v>2.0489046431896748E+28</v>
      </c>
      <c r="N296" s="13">
        <f t="shared" si="24"/>
        <v>7125</v>
      </c>
      <c r="O296">
        <f t="shared" si="27"/>
        <v>2.8756556395644558E+24</v>
      </c>
      <c r="Q296">
        <f t="shared" si="25"/>
        <v>178.125</v>
      </c>
      <c r="R296">
        <f t="shared" si="26"/>
        <v>71.25</v>
      </c>
    </row>
    <row r="297" spans="11:18" x14ac:dyDescent="0.3">
      <c r="K297">
        <v>286</v>
      </c>
      <c r="L297" s="6">
        <f t="shared" si="23"/>
        <v>2.4996636646914029E+28</v>
      </c>
      <c r="N297" s="13">
        <f t="shared" si="24"/>
        <v>7150</v>
      </c>
      <c r="O297">
        <f t="shared" si="27"/>
        <v>3.4960330974704939E+24</v>
      </c>
      <c r="Q297">
        <f t="shared" si="25"/>
        <v>178.75</v>
      </c>
      <c r="R297">
        <f t="shared" si="26"/>
        <v>71.5</v>
      </c>
    </row>
    <row r="298" spans="11:18" x14ac:dyDescent="0.3">
      <c r="K298">
        <v>287</v>
      </c>
      <c r="L298" s="6">
        <f t="shared" si="23"/>
        <v>3.0495896709235121E+28</v>
      </c>
      <c r="N298" s="13">
        <f t="shared" si="24"/>
        <v>7175</v>
      </c>
      <c r="O298">
        <f t="shared" si="27"/>
        <v>4.2502991929247558E+24</v>
      </c>
      <c r="Q298">
        <f t="shared" si="25"/>
        <v>179.375</v>
      </c>
      <c r="R298">
        <f t="shared" si="26"/>
        <v>71.75</v>
      </c>
    </row>
    <row r="299" spans="11:18" x14ac:dyDescent="0.3">
      <c r="K299">
        <v>288</v>
      </c>
      <c r="L299" s="6">
        <f t="shared" si="23"/>
        <v>3.7204993985266838E+28</v>
      </c>
      <c r="N299" s="13">
        <f t="shared" si="24"/>
        <v>7200</v>
      </c>
      <c r="O299">
        <f t="shared" si="27"/>
        <v>5.1673602757315059E+24</v>
      </c>
      <c r="Q299">
        <f t="shared" si="25"/>
        <v>180</v>
      </c>
      <c r="R299">
        <f t="shared" si="26"/>
        <v>72</v>
      </c>
    </row>
    <row r="300" spans="11:18" x14ac:dyDescent="0.3">
      <c r="K300">
        <v>289</v>
      </c>
      <c r="L300" s="6">
        <f t="shared" si="23"/>
        <v>4.5390092662025548E+28</v>
      </c>
      <c r="N300" s="13">
        <f t="shared" si="24"/>
        <v>7225</v>
      </c>
      <c r="O300">
        <f t="shared" si="27"/>
        <v>6.2823657663703176E+24</v>
      </c>
      <c r="Q300">
        <f t="shared" si="25"/>
        <v>180.625</v>
      </c>
      <c r="R300">
        <f t="shared" si="26"/>
        <v>72.25</v>
      </c>
    </row>
    <row r="301" spans="11:18" x14ac:dyDescent="0.3">
      <c r="K301">
        <v>290</v>
      </c>
      <c r="L301" s="6">
        <f t="shared" si="23"/>
        <v>5.5375913047671152E+28</v>
      </c>
      <c r="N301" s="13">
        <f t="shared" si="24"/>
        <v>7250</v>
      </c>
      <c r="O301">
        <f t="shared" si="27"/>
        <v>7.6380569720925728E+24</v>
      </c>
      <c r="Q301">
        <f t="shared" si="25"/>
        <v>181.25</v>
      </c>
      <c r="R301">
        <f t="shared" si="26"/>
        <v>72.5</v>
      </c>
    </row>
    <row r="302" spans="11:18" x14ac:dyDescent="0.3">
      <c r="K302">
        <v>291</v>
      </c>
      <c r="L302" s="6">
        <f t="shared" si="23"/>
        <v>6.7558613918158812E+28</v>
      </c>
      <c r="N302" s="13">
        <f t="shared" si="24"/>
        <v>7275</v>
      </c>
      <c r="O302">
        <f t="shared" si="27"/>
        <v>9.2864074114307646E+24</v>
      </c>
      <c r="Q302">
        <f t="shared" si="25"/>
        <v>181.875</v>
      </c>
      <c r="R302">
        <f t="shared" si="26"/>
        <v>72.75</v>
      </c>
    </row>
    <row r="303" spans="11:18" x14ac:dyDescent="0.3">
      <c r="K303">
        <v>292</v>
      </c>
      <c r="L303" s="6">
        <f t="shared" si="23"/>
        <v>8.2421508980153753E+28</v>
      </c>
      <c r="N303" s="13">
        <f t="shared" si="24"/>
        <v>7300</v>
      </c>
      <c r="O303">
        <f t="shared" si="27"/>
        <v>1.1290617668514213E+25</v>
      </c>
      <c r="Q303">
        <f t="shared" si="25"/>
        <v>182.5</v>
      </c>
      <c r="R303">
        <f t="shared" si="26"/>
        <v>73</v>
      </c>
    </row>
    <row r="304" spans="11:18" x14ac:dyDescent="0.3">
      <c r="K304">
        <v>293</v>
      </c>
      <c r="L304" s="6">
        <f t="shared" si="23"/>
        <v>1.0055424095578757E+29</v>
      </c>
      <c r="N304" s="13">
        <f t="shared" si="24"/>
        <v>7325</v>
      </c>
      <c r="O304">
        <f t="shared" si="27"/>
        <v>1.3727541427411273E+25</v>
      </c>
      <c r="Q304">
        <f t="shared" si="25"/>
        <v>183.125</v>
      </c>
      <c r="R304">
        <f t="shared" si="26"/>
        <v>73.25</v>
      </c>
    </row>
    <row r="305" spans="11:18" x14ac:dyDescent="0.3">
      <c r="K305">
        <v>294</v>
      </c>
      <c r="L305" s="6">
        <f t="shared" si="23"/>
        <v>1.2267617396606082E+29</v>
      </c>
      <c r="N305" s="13">
        <f t="shared" si="24"/>
        <v>7350</v>
      </c>
      <c r="O305">
        <f t="shared" si="27"/>
        <v>1.6690635913749773E+25</v>
      </c>
      <c r="Q305">
        <f t="shared" si="25"/>
        <v>183.75</v>
      </c>
      <c r="R305">
        <f t="shared" si="26"/>
        <v>73.5</v>
      </c>
    </row>
    <row r="306" spans="11:18" x14ac:dyDescent="0.3">
      <c r="K306">
        <v>295</v>
      </c>
      <c r="L306" s="6">
        <f t="shared" si="23"/>
        <v>1.4966493223859422E+29</v>
      </c>
      <c r="N306" s="13">
        <f t="shared" si="24"/>
        <v>7375</v>
      </c>
      <c r="O306">
        <f t="shared" si="27"/>
        <v>2.0293550134046672E+25</v>
      </c>
      <c r="Q306">
        <f t="shared" si="25"/>
        <v>184.375</v>
      </c>
      <c r="R306">
        <f t="shared" si="26"/>
        <v>73.75</v>
      </c>
    </row>
    <row r="307" spans="11:18" x14ac:dyDescent="0.3">
      <c r="K307">
        <v>296</v>
      </c>
      <c r="L307" s="6">
        <f t="shared" si="23"/>
        <v>1.8259121733108492E+29</v>
      </c>
      <c r="N307" s="13">
        <f t="shared" si="24"/>
        <v>7400</v>
      </c>
      <c r="O307">
        <f t="shared" si="27"/>
        <v>2.467448882852499E+25</v>
      </c>
      <c r="Q307">
        <f t="shared" si="25"/>
        <v>185</v>
      </c>
      <c r="R307">
        <f t="shared" si="26"/>
        <v>74</v>
      </c>
    </row>
    <row r="308" spans="11:18" x14ac:dyDescent="0.3">
      <c r="K308">
        <v>297</v>
      </c>
      <c r="L308" s="6">
        <f t="shared" si="23"/>
        <v>2.2276128514392358E+29</v>
      </c>
      <c r="N308" s="13">
        <f t="shared" si="24"/>
        <v>7425</v>
      </c>
      <c r="O308">
        <f t="shared" si="27"/>
        <v>3.0001519884703511E+25</v>
      </c>
      <c r="Q308">
        <f t="shared" si="25"/>
        <v>185.625</v>
      </c>
      <c r="R308">
        <f t="shared" si="26"/>
        <v>74.25</v>
      </c>
    </row>
    <row r="309" spans="11:18" x14ac:dyDescent="0.3">
      <c r="K309">
        <v>298</v>
      </c>
      <c r="L309" s="6">
        <f t="shared" si="23"/>
        <v>2.7176876787558676E+29</v>
      </c>
      <c r="N309" s="13">
        <f t="shared" si="24"/>
        <v>7450</v>
      </c>
      <c r="O309">
        <f t="shared" si="27"/>
        <v>3.6479029245045205E+25</v>
      </c>
      <c r="Q309">
        <f t="shared" si="25"/>
        <v>186.25</v>
      </c>
      <c r="R309">
        <f t="shared" si="26"/>
        <v>74.5</v>
      </c>
    </row>
    <row r="310" spans="11:18" x14ac:dyDescent="0.3">
      <c r="K310">
        <v>299</v>
      </c>
      <c r="L310" s="6">
        <f t="shared" si="23"/>
        <v>3.3155789680821581E+29</v>
      </c>
      <c r="N310" s="13">
        <f t="shared" si="24"/>
        <v>7475</v>
      </c>
      <c r="O310">
        <f t="shared" si="27"/>
        <v>4.4355571479359978E+25</v>
      </c>
      <c r="Q310">
        <f t="shared" si="25"/>
        <v>186.875</v>
      </c>
      <c r="R310">
        <f t="shared" si="26"/>
        <v>74.75</v>
      </c>
    </row>
    <row r="311" spans="11:18" x14ac:dyDescent="0.3">
      <c r="K311">
        <v>300</v>
      </c>
      <c r="L311" s="6">
        <f t="shared" si="23"/>
        <v>4.0450063410602325E+29</v>
      </c>
      <c r="N311" s="13">
        <f t="shared" si="24"/>
        <v>7500</v>
      </c>
      <c r="O311">
        <f t="shared" si="27"/>
        <v>5.3933417880803104E+25</v>
      </c>
      <c r="Q311">
        <f t="shared" si="25"/>
        <v>187.5</v>
      </c>
      <c r="R311">
        <f t="shared" si="26"/>
        <v>75</v>
      </c>
    </row>
    <row r="312" spans="11:18" x14ac:dyDescent="0.3">
      <c r="K312">
        <v>301</v>
      </c>
      <c r="L312" s="6">
        <f t="shared" si="23"/>
        <v>4.9349077360934838E+29</v>
      </c>
      <c r="N312" s="13">
        <f t="shared" si="24"/>
        <v>7525</v>
      </c>
      <c r="O312">
        <f t="shared" si="27"/>
        <v>6.5580169250411747E+25</v>
      </c>
      <c r="Q312">
        <f t="shared" si="25"/>
        <v>188.125</v>
      </c>
      <c r="R312">
        <f t="shared" si="26"/>
        <v>75.25</v>
      </c>
    </row>
    <row r="313" spans="11:18" x14ac:dyDescent="0.3">
      <c r="K313">
        <v>302</v>
      </c>
      <c r="L313" s="6">
        <f t="shared" si="23"/>
        <v>6.0205874380340492E+29</v>
      </c>
      <c r="N313" s="13">
        <f t="shared" si="24"/>
        <v>7550</v>
      </c>
      <c r="O313">
        <f t="shared" si="27"/>
        <v>7.9742879973960922E+25</v>
      </c>
      <c r="Q313">
        <f t="shared" si="25"/>
        <v>188.75</v>
      </c>
      <c r="R313">
        <f t="shared" si="26"/>
        <v>75.5</v>
      </c>
    </row>
    <row r="314" spans="11:18" x14ac:dyDescent="0.3">
      <c r="K314">
        <v>303</v>
      </c>
      <c r="L314" s="6">
        <f t="shared" si="23"/>
        <v>7.345116674401541E+29</v>
      </c>
      <c r="N314" s="13">
        <f t="shared" si="24"/>
        <v>7575</v>
      </c>
      <c r="O314">
        <f t="shared" si="27"/>
        <v>9.696523662576291E+25</v>
      </c>
      <c r="Q314">
        <f t="shared" si="25"/>
        <v>189.375</v>
      </c>
      <c r="R314">
        <f t="shared" si="26"/>
        <v>75.75</v>
      </c>
    </row>
    <row r="315" spans="11:18" x14ac:dyDescent="0.3">
      <c r="K315">
        <v>304</v>
      </c>
      <c r="L315" s="6">
        <f t="shared" si="23"/>
        <v>8.9610423427698786E+29</v>
      </c>
      <c r="N315" s="13">
        <f t="shared" si="24"/>
        <v>7600</v>
      </c>
      <c r="O315">
        <f t="shared" si="27"/>
        <v>1.1790845187855104E+26</v>
      </c>
      <c r="Q315">
        <f t="shared" si="25"/>
        <v>190</v>
      </c>
      <c r="R315">
        <f t="shared" si="26"/>
        <v>76</v>
      </c>
    </row>
    <row r="316" spans="11:18" x14ac:dyDescent="0.3">
      <c r="K316">
        <v>305</v>
      </c>
      <c r="L316" s="6">
        <f t="shared" si="23"/>
        <v>1.0932471658179251E+30</v>
      </c>
      <c r="N316" s="13">
        <f t="shared" si="24"/>
        <v>7625</v>
      </c>
      <c r="O316">
        <f t="shared" si="27"/>
        <v>1.4337667748431805E+26</v>
      </c>
      <c r="Q316">
        <f t="shared" si="25"/>
        <v>190.625</v>
      </c>
      <c r="R316">
        <f t="shared" si="26"/>
        <v>76.25</v>
      </c>
    </row>
    <row r="317" spans="11:18" x14ac:dyDescent="0.3">
      <c r="K317">
        <v>306</v>
      </c>
      <c r="L317" s="6">
        <f t="shared" si="23"/>
        <v>1.3337615422978687E+30</v>
      </c>
      <c r="N317" s="13">
        <f t="shared" si="24"/>
        <v>7650</v>
      </c>
      <c r="O317">
        <f t="shared" si="27"/>
        <v>1.743479140258652E+26</v>
      </c>
      <c r="Q317">
        <f t="shared" si="25"/>
        <v>191.25</v>
      </c>
      <c r="R317">
        <f t="shared" si="26"/>
        <v>76.5</v>
      </c>
    </row>
    <row r="318" spans="11:18" x14ac:dyDescent="0.3">
      <c r="K318">
        <v>307</v>
      </c>
      <c r="L318" s="6">
        <f t="shared" si="23"/>
        <v>1.6271890816033998E+30</v>
      </c>
      <c r="N318" s="13">
        <f t="shared" si="24"/>
        <v>7675</v>
      </c>
      <c r="O318">
        <f t="shared" si="27"/>
        <v>2.1201160672357001E+26</v>
      </c>
      <c r="Q318">
        <f t="shared" si="25"/>
        <v>191.875</v>
      </c>
      <c r="R318">
        <f t="shared" si="26"/>
        <v>76.75</v>
      </c>
    </row>
    <row r="319" spans="11:18" x14ac:dyDescent="0.3">
      <c r="K319">
        <v>308</v>
      </c>
      <c r="L319" s="6">
        <f t="shared" si="23"/>
        <v>1.9851706795561475E+30</v>
      </c>
      <c r="N319" s="13">
        <f t="shared" si="24"/>
        <v>7700</v>
      </c>
      <c r="O319">
        <f t="shared" si="27"/>
        <v>2.5781437396833084E+26</v>
      </c>
      <c r="Q319">
        <f t="shared" si="25"/>
        <v>192.5</v>
      </c>
      <c r="R319">
        <f t="shared" si="26"/>
        <v>77</v>
      </c>
    </row>
    <row r="320" spans="11:18" x14ac:dyDescent="0.3">
      <c r="K320">
        <v>309</v>
      </c>
      <c r="L320" s="6">
        <f t="shared" si="23"/>
        <v>2.4219082290584998E+30</v>
      </c>
      <c r="N320" s="13">
        <f t="shared" si="24"/>
        <v>7725</v>
      </c>
      <c r="O320">
        <f t="shared" si="27"/>
        <v>3.1351562835708736E+26</v>
      </c>
      <c r="Q320">
        <f t="shared" si="25"/>
        <v>193.125</v>
      </c>
      <c r="R320">
        <f t="shared" si="26"/>
        <v>77.25</v>
      </c>
    </row>
    <row r="321" spans="11:18" x14ac:dyDescent="0.3">
      <c r="K321">
        <v>310</v>
      </c>
      <c r="L321" s="6">
        <f t="shared" si="23"/>
        <v>2.9547280394513699E+30</v>
      </c>
      <c r="N321" s="13">
        <f t="shared" si="24"/>
        <v>7750</v>
      </c>
      <c r="O321">
        <f t="shared" si="27"/>
        <v>3.8125523089695096E+26</v>
      </c>
      <c r="Q321">
        <f t="shared" si="25"/>
        <v>193.75</v>
      </c>
      <c r="R321">
        <f t="shared" si="26"/>
        <v>77.5</v>
      </c>
    </row>
    <row r="322" spans="11:18" x14ac:dyDescent="0.3">
      <c r="K322">
        <v>311</v>
      </c>
      <c r="L322" s="6">
        <f t="shared" si="23"/>
        <v>3.6047682081306716E+30</v>
      </c>
      <c r="N322" s="13">
        <f t="shared" si="24"/>
        <v>7775</v>
      </c>
      <c r="O322">
        <f t="shared" si="27"/>
        <v>4.6363578239622785E+26</v>
      </c>
      <c r="Q322">
        <f t="shared" si="25"/>
        <v>194.375</v>
      </c>
      <c r="R322">
        <f t="shared" si="26"/>
        <v>77.75</v>
      </c>
    </row>
    <row r="323" spans="11:18" x14ac:dyDescent="0.3">
      <c r="K323">
        <v>312</v>
      </c>
      <c r="L323" s="6">
        <f t="shared" si="23"/>
        <v>4.3978172139194188E+30</v>
      </c>
      <c r="N323" s="13">
        <f t="shared" si="24"/>
        <v>7800</v>
      </c>
      <c r="O323">
        <f t="shared" si="27"/>
        <v>5.6382271973325885E+26</v>
      </c>
      <c r="Q323">
        <f t="shared" si="25"/>
        <v>195</v>
      </c>
      <c r="R323">
        <f t="shared" si="26"/>
        <v>78</v>
      </c>
    </row>
    <row r="324" spans="11:18" x14ac:dyDescent="0.3">
      <c r="K324">
        <v>313</v>
      </c>
      <c r="L324" s="6">
        <f t="shared" si="23"/>
        <v>5.3653370009816904E+30</v>
      </c>
      <c r="N324" s="13">
        <f t="shared" si="24"/>
        <v>7825</v>
      </c>
      <c r="O324">
        <f t="shared" si="27"/>
        <v>6.8566607041299555E+26</v>
      </c>
      <c r="Q324">
        <f t="shared" si="25"/>
        <v>195.625</v>
      </c>
      <c r="R324">
        <f t="shared" si="26"/>
        <v>78.25</v>
      </c>
    </row>
    <row r="325" spans="11:18" x14ac:dyDescent="0.3">
      <c r="K325">
        <v>314</v>
      </c>
      <c r="L325" s="6">
        <f t="shared" si="23"/>
        <v>6.5457111411976634E+30</v>
      </c>
      <c r="N325" s="13">
        <f t="shared" si="24"/>
        <v>7850</v>
      </c>
      <c r="O325">
        <f t="shared" si="27"/>
        <v>8.3384855301881059E+26</v>
      </c>
      <c r="Q325">
        <f t="shared" si="25"/>
        <v>196.25</v>
      </c>
      <c r="R325">
        <f t="shared" si="26"/>
        <v>78.5</v>
      </c>
    </row>
    <row r="326" spans="11:18" x14ac:dyDescent="0.3">
      <c r="K326">
        <v>315</v>
      </c>
      <c r="L326" s="6">
        <f t="shared" si="23"/>
        <v>7.9857675922611475E+30</v>
      </c>
      <c r="N326" s="13">
        <f t="shared" si="24"/>
        <v>7875</v>
      </c>
      <c r="O326">
        <f t="shared" si="27"/>
        <v>1.0140657260014155E+27</v>
      </c>
      <c r="Q326">
        <f t="shared" si="25"/>
        <v>196.875</v>
      </c>
      <c r="R326">
        <f t="shared" si="26"/>
        <v>78.75</v>
      </c>
    </row>
    <row r="327" spans="11:18" x14ac:dyDescent="0.3">
      <c r="K327">
        <v>316</v>
      </c>
      <c r="L327" s="6">
        <f t="shared" si="23"/>
        <v>9.7426364625585993E+30</v>
      </c>
      <c r="N327" s="13">
        <f t="shared" si="24"/>
        <v>7900</v>
      </c>
      <c r="O327">
        <f t="shared" si="27"/>
        <v>1.2332451218428607E+27</v>
      </c>
      <c r="Q327">
        <f t="shared" si="25"/>
        <v>197.5</v>
      </c>
      <c r="R327">
        <f t="shared" si="26"/>
        <v>79</v>
      </c>
    </row>
    <row r="328" spans="11:18" x14ac:dyDescent="0.3">
      <c r="K328">
        <v>317</v>
      </c>
      <c r="L328" s="6">
        <f t="shared" si="23"/>
        <v>1.1886016484321491E+31</v>
      </c>
      <c r="N328" s="13">
        <f t="shared" si="24"/>
        <v>7925</v>
      </c>
      <c r="O328">
        <f t="shared" si="27"/>
        <v>1.499812805592617E+27</v>
      </c>
      <c r="Q328">
        <f t="shared" si="25"/>
        <v>198.125</v>
      </c>
      <c r="R328">
        <f t="shared" si="26"/>
        <v>79.25</v>
      </c>
    </row>
    <row r="329" spans="11:18" x14ac:dyDescent="0.3">
      <c r="K329">
        <v>318</v>
      </c>
      <c r="L329" s="6">
        <f t="shared" si="23"/>
        <v>1.4500940110872216E+31</v>
      </c>
      <c r="N329" s="13">
        <f t="shared" si="24"/>
        <v>7950</v>
      </c>
      <c r="O329">
        <f t="shared" si="27"/>
        <v>1.8240176240090837E+27</v>
      </c>
      <c r="Q329">
        <f t="shared" si="25"/>
        <v>198.75</v>
      </c>
      <c r="R329">
        <f t="shared" si="26"/>
        <v>79.5</v>
      </c>
    </row>
    <row r="330" spans="11:18" x14ac:dyDescent="0.3">
      <c r="K330">
        <v>319</v>
      </c>
      <c r="L330" s="6">
        <f t="shared" si="23"/>
        <v>1.7691146935264107E+31</v>
      </c>
      <c r="N330" s="13">
        <f t="shared" si="24"/>
        <v>7975</v>
      </c>
      <c r="O330">
        <f t="shared" si="27"/>
        <v>2.2183256345158755E+27</v>
      </c>
      <c r="Q330">
        <f t="shared" si="25"/>
        <v>199.375</v>
      </c>
      <c r="R330">
        <f t="shared" si="26"/>
        <v>79.75</v>
      </c>
    </row>
    <row r="331" spans="11:18" x14ac:dyDescent="0.3">
      <c r="K331">
        <v>320</v>
      </c>
      <c r="L331" s="6">
        <f t="shared" si="23"/>
        <v>2.1583199261022204E+31</v>
      </c>
      <c r="N331" s="13">
        <f t="shared" si="24"/>
        <v>8000</v>
      </c>
      <c r="O331">
        <f t="shared" si="27"/>
        <v>2.6978999076277757E+27</v>
      </c>
      <c r="Q331">
        <f t="shared" si="25"/>
        <v>200</v>
      </c>
      <c r="R331">
        <f t="shared" si="26"/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3298-C8A3-4F18-A82D-F8655E21D5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7EA5-B248-478A-AEC7-D880FCD573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Base rates</vt:lpstr>
      <vt:lpstr>Atomic friction</vt:lpstr>
      <vt:lpstr>Molecular Agitation</vt:lpstr>
      <vt:lpstr>Lava Mites</vt:lpstr>
      <vt:lpstr>Infernal Condensation</vt:lpstr>
      <vt:lpstr>Blad7</vt:lpstr>
      <vt:lpstr>Blad8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Hylander</dc:creator>
  <cp:lastModifiedBy>Jakob Hylander</cp:lastModifiedBy>
  <dcterms:created xsi:type="dcterms:W3CDTF">2026-10-03T06:18:10Z</dcterms:created>
  <dcterms:modified xsi:type="dcterms:W3CDTF">2026-10-08T12:00:01Z</dcterms:modified>
</cp:coreProperties>
</file>