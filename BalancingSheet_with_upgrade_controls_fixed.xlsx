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ab-my.sharepoint.com/personal/jakob_hylander_entab_se/Documents/Documents/demon-dimension/"/>
    </mc:Choice>
  </mc:AlternateContent>
  <xr:revisionPtr revIDLastSave="11" documentId="11_4F479F07DBF718DCA94AFCF187FE5BB8F4B5F994" xr6:coauthVersionLast="47" xr6:coauthVersionMax="47" xr10:uidLastSave="{A62F6663-2C77-4892-83EC-E5827CAE6727}"/>
  <bookViews>
    <workbookView xWindow="-108" yWindow="-108" windowWidth="23256" windowHeight="12456" activeTab="3" xr2:uid="{00000000-000D-0000-FFFF-FFFF00000000}"/>
  </bookViews>
  <sheets>
    <sheet name="Balance Controls" sheetId="1" r:id="rId1"/>
    <sheet name="Base rates" sheetId="2" r:id="rId2"/>
    <sheet name="Atomic friction" sheetId="3" r:id="rId3"/>
    <sheet name="Molecular Agitation" sheetId="4" r:id="rId4"/>
    <sheet name="Lava Mites" sheetId="5" r:id="rId5"/>
    <sheet name="Infernal Condensation" sheetId="6" r:id="rId6"/>
    <sheet name="Blad7" sheetId="7" r:id="rId7"/>
    <sheet name="Blad8" sheetId="8" r:id="rId8"/>
  </sheets>
  <definedNames>
    <definedName name="_xlnm._FilterDatabase" localSheetId="0" hidden="1">'Balance Controls'!$A$12:$M$52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1" i="6" l="1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B3" i="6"/>
  <c r="R331" i="5"/>
  <c r="N331" i="5"/>
  <c r="L331" i="5"/>
  <c r="R330" i="5"/>
  <c r="N330" i="5"/>
  <c r="L330" i="5"/>
  <c r="R329" i="5"/>
  <c r="N329" i="5"/>
  <c r="L329" i="5"/>
  <c r="R328" i="5"/>
  <c r="N328" i="5"/>
  <c r="L328" i="5"/>
  <c r="R327" i="5"/>
  <c r="N327" i="5"/>
  <c r="L327" i="5"/>
  <c r="R326" i="5"/>
  <c r="N326" i="5"/>
  <c r="L326" i="5"/>
  <c r="R325" i="5"/>
  <c r="N325" i="5"/>
  <c r="L325" i="5"/>
  <c r="R324" i="5"/>
  <c r="N324" i="5"/>
  <c r="L324" i="5"/>
  <c r="R323" i="5"/>
  <c r="N323" i="5"/>
  <c r="L323" i="5"/>
  <c r="R322" i="5"/>
  <c r="N322" i="5"/>
  <c r="L322" i="5"/>
  <c r="R321" i="5"/>
  <c r="N321" i="5"/>
  <c r="L321" i="5"/>
  <c r="R320" i="5"/>
  <c r="N320" i="5"/>
  <c r="L320" i="5"/>
  <c r="R319" i="5"/>
  <c r="N319" i="5"/>
  <c r="L319" i="5"/>
  <c r="R318" i="5"/>
  <c r="N318" i="5"/>
  <c r="L318" i="5"/>
  <c r="R317" i="5"/>
  <c r="N317" i="5"/>
  <c r="L317" i="5"/>
  <c r="R316" i="5"/>
  <c r="N316" i="5"/>
  <c r="L316" i="5"/>
  <c r="R315" i="5"/>
  <c r="N315" i="5"/>
  <c r="L315" i="5"/>
  <c r="R314" i="5"/>
  <c r="N314" i="5"/>
  <c r="L314" i="5"/>
  <c r="R313" i="5"/>
  <c r="N313" i="5"/>
  <c r="L313" i="5"/>
  <c r="R312" i="5"/>
  <c r="N312" i="5"/>
  <c r="L312" i="5"/>
  <c r="R311" i="5"/>
  <c r="N311" i="5"/>
  <c r="O311" i="5" s="1"/>
  <c r="L311" i="5"/>
  <c r="R310" i="5"/>
  <c r="N310" i="5"/>
  <c r="L310" i="5"/>
  <c r="R309" i="5"/>
  <c r="N309" i="5"/>
  <c r="L309" i="5"/>
  <c r="R308" i="5"/>
  <c r="N308" i="5"/>
  <c r="L308" i="5"/>
  <c r="R307" i="5"/>
  <c r="N307" i="5"/>
  <c r="L307" i="5"/>
  <c r="R306" i="5"/>
  <c r="N306" i="5"/>
  <c r="L306" i="5"/>
  <c r="R305" i="5"/>
  <c r="N305" i="5"/>
  <c r="L305" i="5"/>
  <c r="R304" i="5"/>
  <c r="N304" i="5"/>
  <c r="L304" i="5"/>
  <c r="R303" i="5"/>
  <c r="N303" i="5"/>
  <c r="L303" i="5"/>
  <c r="R302" i="5"/>
  <c r="N302" i="5"/>
  <c r="L302" i="5"/>
  <c r="R301" i="5"/>
  <c r="N301" i="5"/>
  <c r="L301" i="5"/>
  <c r="R300" i="5"/>
  <c r="N300" i="5"/>
  <c r="L300" i="5"/>
  <c r="R299" i="5"/>
  <c r="N299" i="5"/>
  <c r="L299" i="5"/>
  <c r="R298" i="5"/>
  <c r="N298" i="5"/>
  <c r="L298" i="5"/>
  <c r="R297" i="5"/>
  <c r="N297" i="5"/>
  <c r="L297" i="5"/>
  <c r="R296" i="5"/>
  <c r="N296" i="5"/>
  <c r="L296" i="5"/>
  <c r="R295" i="5"/>
  <c r="N295" i="5"/>
  <c r="L295" i="5"/>
  <c r="R294" i="5"/>
  <c r="N294" i="5"/>
  <c r="L294" i="5"/>
  <c r="R293" i="5"/>
  <c r="N293" i="5"/>
  <c r="L293" i="5"/>
  <c r="R292" i="5"/>
  <c r="N292" i="5"/>
  <c r="L292" i="5"/>
  <c r="R291" i="5"/>
  <c r="N291" i="5"/>
  <c r="L291" i="5"/>
  <c r="R290" i="5"/>
  <c r="N290" i="5"/>
  <c r="L290" i="5"/>
  <c r="R289" i="5"/>
  <c r="N289" i="5"/>
  <c r="L289" i="5"/>
  <c r="R288" i="5"/>
  <c r="N288" i="5"/>
  <c r="L288" i="5"/>
  <c r="R287" i="5"/>
  <c r="N287" i="5"/>
  <c r="L287" i="5"/>
  <c r="R286" i="5"/>
  <c r="N286" i="5"/>
  <c r="L286" i="5"/>
  <c r="R285" i="5"/>
  <c r="N285" i="5"/>
  <c r="L285" i="5"/>
  <c r="R284" i="5"/>
  <c r="N284" i="5"/>
  <c r="L284" i="5"/>
  <c r="R283" i="5"/>
  <c r="N283" i="5"/>
  <c r="L283" i="5"/>
  <c r="R282" i="5"/>
  <c r="N282" i="5"/>
  <c r="L282" i="5"/>
  <c r="R281" i="5"/>
  <c r="N281" i="5"/>
  <c r="L281" i="5"/>
  <c r="R280" i="5"/>
  <c r="N280" i="5"/>
  <c r="L280" i="5"/>
  <c r="R279" i="5"/>
  <c r="N279" i="5"/>
  <c r="L279" i="5"/>
  <c r="R278" i="5"/>
  <c r="N278" i="5"/>
  <c r="L278" i="5"/>
  <c r="R277" i="5"/>
  <c r="N277" i="5"/>
  <c r="L277" i="5"/>
  <c r="R276" i="5"/>
  <c r="N276" i="5"/>
  <c r="L276" i="5"/>
  <c r="R275" i="5"/>
  <c r="N275" i="5"/>
  <c r="L275" i="5"/>
  <c r="R274" i="5"/>
  <c r="N274" i="5"/>
  <c r="L274" i="5"/>
  <c r="R273" i="5"/>
  <c r="N273" i="5"/>
  <c r="L273" i="5"/>
  <c r="R272" i="5"/>
  <c r="N272" i="5"/>
  <c r="L272" i="5"/>
  <c r="R271" i="5"/>
  <c r="N271" i="5"/>
  <c r="L271" i="5"/>
  <c r="R270" i="5"/>
  <c r="N270" i="5"/>
  <c r="L270" i="5"/>
  <c r="R269" i="5"/>
  <c r="N269" i="5"/>
  <c r="L269" i="5"/>
  <c r="R268" i="5"/>
  <c r="N268" i="5"/>
  <c r="L268" i="5"/>
  <c r="R267" i="5"/>
  <c r="N267" i="5"/>
  <c r="L267" i="5"/>
  <c r="R266" i="5"/>
  <c r="N266" i="5"/>
  <c r="L266" i="5"/>
  <c r="R265" i="5"/>
  <c r="N265" i="5"/>
  <c r="L265" i="5"/>
  <c r="R264" i="5"/>
  <c r="N264" i="5"/>
  <c r="L264" i="5"/>
  <c r="R263" i="5"/>
  <c r="N263" i="5"/>
  <c r="L263" i="5"/>
  <c r="R262" i="5"/>
  <c r="N262" i="5"/>
  <c r="L262" i="5"/>
  <c r="R261" i="5"/>
  <c r="N261" i="5"/>
  <c r="L261" i="5"/>
  <c r="R260" i="5"/>
  <c r="N260" i="5"/>
  <c r="L260" i="5"/>
  <c r="R259" i="5"/>
  <c r="N259" i="5"/>
  <c r="L259" i="5"/>
  <c r="R258" i="5"/>
  <c r="N258" i="5"/>
  <c r="L258" i="5"/>
  <c r="R257" i="5"/>
  <c r="N257" i="5"/>
  <c r="L257" i="5"/>
  <c r="R256" i="5"/>
  <c r="N256" i="5"/>
  <c r="L256" i="5"/>
  <c r="R255" i="5"/>
  <c r="N255" i="5"/>
  <c r="L255" i="5"/>
  <c r="R254" i="5"/>
  <c r="N254" i="5"/>
  <c r="L254" i="5"/>
  <c r="R253" i="5"/>
  <c r="N253" i="5"/>
  <c r="L253" i="5"/>
  <c r="R252" i="5"/>
  <c r="N252" i="5"/>
  <c r="L252" i="5"/>
  <c r="R251" i="5"/>
  <c r="N251" i="5"/>
  <c r="L251" i="5"/>
  <c r="R250" i="5"/>
  <c r="N250" i="5"/>
  <c r="L250" i="5"/>
  <c r="R249" i="5"/>
  <c r="N249" i="5"/>
  <c r="L249" i="5"/>
  <c r="R248" i="5"/>
  <c r="N248" i="5"/>
  <c r="L248" i="5"/>
  <c r="R247" i="5"/>
  <c r="N247" i="5"/>
  <c r="L247" i="5"/>
  <c r="R246" i="5"/>
  <c r="N246" i="5"/>
  <c r="L246" i="5"/>
  <c r="R245" i="5"/>
  <c r="N245" i="5"/>
  <c r="L245" i="5"/>
  <c r="R244" i="5"/>
  <c r="N244" i="5"/>
  <c r="L244" i="5"/>
  <c r="R243" i="5"/>
  <c r="N243" i="5"/>
  <c r="L243" i="5"/>
  <c r="R242" i="5"/>
  <c r="N242" i="5"/>
  <c r="L242" i="5"/>
  <c r="O242" i="5" s="1"/>
  <c r="R241" i="5"/>
  <c r="N241" i="5"/>
  <c r="L241" i="5"/>
  <c r="R240" i="5"/>
  <c r="N240" i="5"/>
  <c r="L240" i="5"/>
  <c r="R239" i="5"/>
  <c r="N239" i="5"/>
  <c r="L239" i="5"/>
  <c r="R238" i="5"/>
  <c r="N238" i="5"/>
  <c r="L238" i="5"/>
  <c r="O238" i="5" s="1"/>
  <c r="R237" i="5"/>
  <c r="N237" i="5"/>
  <c r="L237" i="5"/>
  <c r="R236" i="5"/>
  <c r="N236" i="5"/>
  <c r="L236" i="5"/>
  <c r="R235" i="5"/>
  <c r="N235" i="5"/>
  <c r="L235" i="5"/>
  <c r="R234" i="5"/>
  <c r="N234" i="5"/>
  <c r="L234" i="5"/>
  <c r="O234" i="5" s="1"/>
  <c r="R233" i="5"/>
  <c r="N233" i="5"/>
  <c r="L233" i="5"/>
  <c r="R232" i="5"/>
  <c r="N232" i="5"/>
  <c r="L232" i="5"/>
  <c r="R231" i="5"/>
  <c r="N231" i="5"/>
  <c r="L231" i="5"/>
  <c r="R230" i="5"/>
  <c r="N230" i="5"/>
  <c r="L230" i="5"/>
  <c r="O230" i="5" s="1"/>
  <c r="R229" i="5"/>
  <c r="N229" i="5"/>
  <c r="L229" i="5"/>
  <c r="R228" i="5"/>
  <c r="N228" i="5"/>
  <c r="L228" i="5"/>
  <c r="R227" i="5"/>
  <c r="N227" i="5"/>
  <c r="L227" i="5"/>
  <c r="R226" i="5"/>
  <c r="N226" i="5"/>
  <c r="L226" i="5"/>
  <c r="O226" i="5" s="1"/>
  <c r="R225" i="5"/>
  <c r="N225" i="5"/>
  <c r="L225" i="5"/>
  <c r="R224" i="5"/>
  <c r="N224" i="5"/>
  <c r="L224" i="5"/>
  <c r="O224" i="5" s="1"/>
  <c r="R223" i="5"/>
  <c r="N223" i="5"/>
  <c r="L223" i="5"/>
  <c r="R222" i="5"/>
  <c r="N222" i="5"/>
  <c r="L222" i="5"/>
  <c r="R221" i="5"/>
  <c r="N221" i="5"/>
  <c r="L221" i="5"/>
  <c r="R220" i="5"/>
  <c r="N220" i="5"/>
  <c r="L220" i="5"/>
  <c r="O220" i="5" s="1"/>
  <c r="R219" i="5"/>
  <c r="N219" i="5"/>
  <c r="L219" i="5"/>
  <c r="R218" i="5"/>
  <c r="N218" i="5"/>
  <c r="L218" i="5"/>
  <c r="O218" i="5" s="1"/>
  <c r="R217" i="5"/>
  <c r="N217" i="5"/>
  <c r="L217" i="5"/>
  <c r="R216" i="5"/>
  <c r="N216" i="5"/>
  <c r="L216" i="5"/>
  <c r="O216" i="5" s="1"/>
  <c r="R215" i="5"/>
  <c r="N215" i="5"/>
  <c r="L215" i="5"/>
  <c r="R214" i="5"/>
  <c r="N214" i="5"/>
  <c r="L214" i="5"/>
  <c r="R213" i="5"/>
  <c r="N213" i="5"/>
  <c r="L213" i="5"/>
  <c r="R212" i="5"/>
  <c r="N212" i="5"/>
  <c r="L212" i="5"/>
  <c r="O212" i="5" s="1"/>
  <c r="R211" i="5"/>
  <c r="N211" i="5"/>
  <c r="L211" i="5"/>
  <c r="R210" i="5"/>
  <c r="N210" i="5"/>
  <c r="L210" i="5"/>
  <c r="O210" i="5" s="1"/>
  <c r="R209" i="5"/>
  <c r="N209" i="5"/>
  <c r="L209" i="5"/>
  <c r="R208" i="5"/>
  <c r="N208" i="5"/>
  <c r="L208" i="5"/>
  <c r="O208" i="5" s="1"/>
  <c r="R207" i="5"/>
  <c r="N207" i="5"/>
  <c r="L207" i="5"/>
  <c r="R206" i="5"/>
  <c r="N206" i="5"/>
  <c r="L206" i="5"/>
  <c r="O206" i="5" s="1"/>
  <c r="R205" i="5"/>
  <c r="N205" i="5"/>
  <c r="L205" i="5"/>
  <c r="R204" i="5"/>
  <c r="N204" i="5"/>
  <c r="L204" i="5"/>
  <c r="R203" i="5"/>
  <c r="N203" i="5"/>
  <c r="L203" i="5"/>
  <c r="R202" i="5"/>
  <c r="N202" i="5"/>
  <c r="L202" i="5"/>
  <c r="O202" i="5" s="1"/>
  <c r="R201" i="5"/>
  <c r="N201" i="5"/>
  <c r="L201" i="5"/>
  <c r="R200" i="5"/>
  <c r="N200" i="5"/>
  <c r="L200" i="5"/>
  <c r="O200" i="5" s="1"/>
  <c r="R199" i="5"/>
  <c r="N199" i="5"/>
  <c r="L199" i="5"/>
  <c r="R198" i="5"/>
  <c r="N198" i="5"/>
  <c r="L198" i="5"/>
  <c r="R197" i="5"/>
  <c r="N197" i="5"/>
  <c r="L197" i="5"/>
  <c r="R196" i="5"/>
  <c r="N196" i="5"/>
  <c r="L196" i="5"/>
  <c r="R195" i="5"/>
  <c r="N195" i="5"/>
  <c r="L195" i="5"/>
  <c r="R194" i="5"/>
  <c r="N194" i="5"/>
  <c r="L194" i="5"/>
  <c r="R193" i="5"/>
  <c r="N193" i="5"/>
  <c r="L193" i="5"/>
  <c r="R192" i="5"/>
  <c r="N192" i="5"/>
  <c r="L192" i="5"/>
  <c r="R191" i="5"/>
  <c r="N191" i="5"/>
  <c r="L191" i="5"/>
  <c r="R190" i="5"/>
  <c r="N190" i="5"/>
  <c r="L190" i="5"/>
  <c r="R189" i="5"/>
  <c r="N189" i="5"/>
  <c r="L189" i="5"/>
  <c r="R188" i="5"/>
  <c r="N188" i="5"/>
  <c r="L188" i="5"/>
  <c r="R187" i="5"/>
  <c r="N187" i="5"/>
  <c r="L187" i="5"/>
  <c r="R186" i="5"/>
  <c r="N186" i="5"/>
  <c r="L186" i="5"/>
  <c r="R185" i="5"/>
  <c r="N185" i="5"/>
  <c r="L185" i="5"/>
  <c r="R184" i="5"/>
  <c r="N184" i="5"/>
  <c r="L184" i="5"/>
  <c r="R183" i="5"/>
  <c r="N183" i="5"/>
  <c r="L183" i="5"/>
  <c r="R182" i="5"/>
  <c r="N182" i="5"/>
  <c r="L182" i="5"/>
  <c r="R181" i="5"/>
  <c r="N181" i="5"/>
  <c r="L181" i="5"/>
  <c r="R180" i="5"/>
  <c r="N180" i="5"/>
  <c r="L180" i="5"/>
  <c r="O180" i="5" s="1"/>
  <c r="R179" i="5"/>
  <c r="N179" i="5"/>
  <c r="L179" i="5"/>
  <c r="R178" i="5"/>
  <c r="N178" i="5"/>
  <c r="L178" i="5"/>
  <c r="O178" i="5" s="1"/>
  <c r="R177" i="5"/>
  <c r="N177" i="5"/>
  <c r="L177" i="5"/>
  <c r="R176" i="5"/>
  <c r="N176" i="5"/>
  <c r="L176" i="5"/>
  <c r="O176" i="5" s="1"/>
  <c r="R175" i="5"/>
  <c r="N175" i="5"/>
  <c r="L175" i="5"/>
  <c r="R174" i="5"/>
  <c r="N174" i="5"/>
  <c r="L174" i="5"/>
  <c r="R173" i="5"/>
  <c r="N173" i="5"/>
  <c r="L173" i="5"/>
  <c r="R172" i="5"/>
  <c r="N172" i="5"/>
  <c r="L172" i="5"/>
  <c r="O172" i="5" s="1"/>
  <c r="R171" i="5"/>
  <c r="N171" i="5"/>
  <c r="L171" i="5"/>
  <c r="R170" i="5"/>
  <c r="N170" i="5"/>
  <c r="L170" i="5"/>
  <c r="O170" i="5" s="1"/>
  <c r="R169" i="5"/>
  <c r="N169" i="5"/>
  <c r="L169" i="5"/>
  <c r="R168" i="5"/>
  <c r="N168" i="5"/>
  <c r="L168" i="5"/>
  <c r="R167" i="5"/>
  <c r="N167" i="5"/>
  <c r="L167" i="5"/>
  <c r="R166" i="5"/>
  <c r="N166" i="5"/>
  <c r="L166" i="5"/>
  <c r="O166" i="5" s="1"/>
  <c r="R165" i="5"/>
  <c r="N165" i="5"/>
  <c r="L165" i="5"/>
  <c r="R164" i="5"/>
  <c r="N164" i="5"/>
  <c r="L164" i="5"/>
  <c r="R163" i="5"/>
  <c r="N163" i="5"/>
  <c r="L163" i="5"/>
  <c r="R162" i="5"/>
  <c r="N162" i="5"/>
  <c r="L162" i="5"/>
  <c r="O162" i="5" s="1"/>
  <c r="R161" i="5"/>
  <c r="N161" i="5"/>
  <c r="L161" i="5"/>
  <c r="R160" i="5"/>
  <c r="N160" i="5"/>
  <c r="L160" i="5"/>
  <c r="R159" i="5"/>
  <c r="N159" i="5"/>
  <c r="L159" i="5"/>
  <c r="R158" i="5"/>
  <c r="N158" i="5"/>
  <c r="L158" i="5"/>
  <c r="O158" i="5" s="1"/>
  <c r="R157" i="5"/>
  <c r="N157" i="5"/>
  <c r="L157" i="5"/>
  <c r="R156" i="5"/>
  <c r="N156" i="5"/>
  <c r="L156" i="5"/>
  <c r="R155" i="5"/>
  <c r="N155" i="5"/>
  <c r="L155" i="5"/>
  <c r="R154" i="5"/>
  <c r="N154" i="5"/>
  <c r="L154" i="5"/>
  <c r="O154" i="5" s="1"/>
  <c r="R153" i="5"/>
  <c r="N153" i="5"/>
  <c r="L153" i="5"/>
  <c r="R152" i="5"/>
  <c r="N152" i="5"/>
  <c r="L152" i="5"/>
  <c r="O152" i="5" s="1"/>
  <c r="R151" i="5"/>
  <c r="N151" i="5"/>
  <c r="L151" i="5"/>
  <c r="R150" i="5"/>
  <c r="N150" i="5"/>
  <c r="L150" i="5"/>
  <c r="R149" i="5"/>
  <c r="N149" i="5"/>
  <c r="L149" i="5"/>
  <c r="R148" i="5"/>
  <c r="N148" i="5"/>
  <c r="L148" i="5"/>
  <c r="O148" i="5" s="1"/>
  <c r="R147" i="5"/>
  <c r="N147" i="5"/>
  <c r="L147" i="5"/>
  <c r="R146" i="5"/>
  <c r="N146" i="5"/>
  <c r="L146" i="5"/>
  <c r="O146" i="5" s="1"/>
  <c r="R145" i="5"/>
  <c r="N145" i="5"/>
  <c r="L145" i="5"/>
  <c r="R144" i="5"/>
  <c r="N144" i="5"/>
  <c r="L144" i="5"/>
  <c r="R143" i="5"/>
  <c r="N143" i="5"/>
  <c r="L143" i="5"/>
  <c r="R142" i="5"/>
  <c r="N142" i="5"/>
  <c r="L142" i="5"/>
  <c r="R141" i="5"/>
  <c r="N141" i="5"/>
  <c r="L141" i="5"/>
  <c r="R140" i="5"/>
  <c r="N140" i="5"/>
  <c r="L140" i="5"/>
  <c r="R139" i="5"/>
  <c r="N139" i="5"/>
  <c r="L139" i="5"/>
  <c r="R138" i="5"/>
  <c r="N138" i="5"/>
  <c r="L138" i="5"/>
  <c r="R137" i="5"/>
  <c r="N137" i="5"/>
  <c r="L137" i="5"/>
  <c r="R136" i="5"/>
  <c r="N136" i="5"/>
  <c r="L136" i="5"/>
  <c r="R135" i="5"/>
  <c r="N135" i="5"/>
  <c r="L135" i="5"/>
  <c r="R134" i="5"/>
  <c r="N134" i="5"/>
  <c r="L134" i="5"/>
  <c r="R133" i="5"/>
  <c r="N133" i="5"/>
  <c r="L133" i="5"/>
  <c r="R132" i="5"/>
  <c r="N132" i="5"/>
  <c r="L132" i="5"/>
  <c r="R131" i="5"/>
  <c r="N131" i="5"/>
  <c r="L131" i="5"/>
  <c r="R130" i="5"/>
  <c r="N130" i="5"/>
  <c r="L130" i="5"/>
  <c r="R129" i="5"/>
  <c r="N129" i="5"/>
  <c r="L129" i="5"/>
  <c r="R128" i="5"/>
  <c r="N128" i="5"/>
  <c r="L128" i="5"/>
  <c r="O128" i="5" s="1"/>
  <c r="R127" i="5"/>
  <c r="N127" i="5"/>
  <c r="L127" i="5"/>
  <c r="R126" i="5"/>
  <c r="N126" i="5"/>
  <c r="L126" i="5"/>
  <c r="R125" i="5"/>
  <c r="N125" i="5"/>
  <c r="L125" i="5"/>
  <c r="R124" i="5"/>
  <c r="N124" i="5"/>
  <c r="L124" i="5"/>
  <c r="O124" i="5" s="1"/>
  <c r="R123" i="5"/>
  <c r="N123" i="5"/>
  <c r="O123" i="5" s="1"/>
  <c r="L123" i="5"/>
  <c r="R122" i="5"/>
  <c r="N122" i="5"/>
  <c r="L122" i="5"/>
  <c r="R121" i="5"/>
  <c r="N121" i="5"/>
  <c r="L121" i="5"/>
  <c r="R120" i="5"/>
  <c r="N120" i="5"/>
  <c r="L120" i="5"/>
  <c r="R119" i="5"/>
  <c r="N119" i="5"/>
  <c r="L119" i="5"/>
  <c r="R118" i="5"/>
  <c r="N118" i="5"/>
  <c r="L118" i="5"/>
  <c r="R117" i="5"/>
  <c r="N117" i="5"/>
  <c r="L117" i="5"/>
  <c r="R116" i="5"/>
  <c r="N116" i="5"/>
  <c r="L116" i="5"/>
  <c r="R115" i="5"/>
  <c r="N115" i="5"/>
  <c r="L115" i="5"/>
  <c r="R114" i="5"/>
  <c r="N114" i="5"/>
  <c r="L114" i="5"/>
  <c r="R113" i="5"/>
  <c r="N113" i="5"/>
  <c r="L113" i="5"/>
  <c r="R112" i="5"/>
  <c r="N112" i="5"/>
  <c r="L112" i="5"/>
  <c r="R111" i="5"/>
  <c r="N111" i="5"/>
  <c r="O111" i="5" s="1"/>
  <c r="L111" i="5"/>
  <c r="R110" i="5"/>
  <c r="N110" i="5"/>
  <c r="L110" i="5"/>
  <c r="O110" i="5" s="1"/>
  <c r="R109" i="5"/>
  <c r="N109" i="5"/>
  <c r="L109" i="5"/>
  <c r="R108" i="5"/>
  <c r="N108" i="5"/>
  <c r="L108" i="5"/>
  <c r="R107" i="5"/>
  <c r="N107" i="5"/>
  <c r="L107" i="5"/>
  <c r="R106" i="5"/>
  <c r="N106" i="5"/>
  <c r="L106" i="5"/>
  <c r="O106" i="5" s="1"/>
  <c r="R105" i="5"/>
  <c r="N105" i="5"/>
  <c r="L105" i="5"/>
  <c r="R104" i="5"/>
  <c r="N104" i="5"/>
  <c r="L104" i="5"/>
  <c r="O104" i="5" s="1"/>
  <c r="R103" i="5"/>
  <c r="N103" i="5"/>
  <c r="L103" i="5"/>
  <c r="R102" i="5"/>
  <c r="N102" i="5"/>
  <c r="L102" i="5"/>
  <c r="R101" i="5"/>
  <c r="N101" i="5"/>
  <c r="L101" i="5"/>
  <c r="R100" i="5"/>
  <c r="N100" i="5"/>
  <c r="L100" i="5"/>
  <c r="R99" i="5"/>
  <c r="N99" i="5"/>
  <c r="L99" i="5"/>
  <c r="R98" i="5"/>
  <c r="N98" i="5"/>
  <c r="L98" i="5"/>
  <c r="R97" i="5"/>
  <c r="N97" i="5"/>
  <c r="L97" i="5"/>
  <c r="R96" i="5"/>
  <c r="N96" i="5"/>
  <c r="L96" i="5"/>
  <c r="R95" i="5"/>
  <c r="N95" i="5"/>
  <c r="L95" i="5"/>
  <c r="R94" i="5"/>
  <c r="N94" i="5"/>
  <c r="L94" i="5"/>
  <c r="R93" i="5"/>
  <c r="N93" i="5"/>
  <c r="L93" i="5"/>
  <c r="R92" i="5"/>
  <c r="N92" i="5"/>
  <c r="L92" i="5"/>
  <c r="O92" i="5" s="1"/>
  <c r="R91" i="5"/>
  <c r="N91" i="5"/>
  <c r="O91" i="5" s="1"/>
  <c r="L91" i="5"/>
  <c r="R90" i="5"/>
  <c r="N90" i="5"/>
  <c r="L90" i="5"/>
  <c r="R89" i="5"/>
  <c r="N89" i="5"/>
  <c r="L89" i="5"/>
  <c r="R88" i="5"/>
  <c r="N88" i="5"/>
  <c r="L88" i="5"/>
  <c r="O88" i="5" s="1"/>
  <c r="R87" i="5"/>
  <c r="N87" i="5"/>
  <c r="L87" i="5"/>
  <c r="R86" i="5"/>
  <c r="N86" i="5"/>
  <c r="L86" i="5"/>
  <c r="R85" i="5"/>
  <c r="N85" i="5"/>
  <c r="L85" i="5"/>
  <c r="R84" i="5"/>
  <c r="N84" i="5"/>
  <c r="L84" i="5"/>
  <c r="R83" i="5"/>
  <c r="N83" i="5"/>
  <c r="L83" i="5"/>
  <c r="R82" i="5"/>
  <c r="N82" i="5"/>
  <c r="L82" i="5"/>
  <c r="R81" i="5"/>
  <c r="N81" i="5"/>
  <c r="L81" i="5"/>
  <c r="R80" i="5"/>
  <c r="N80" i="5"/>
  <c r="L80" i="5"/>
  <c r="R79" i="5"/>
  <c r="N79" i="5"/>
  <c r="O79" i="5" s="1"/>
  <c r="L79" i="5"/>
  <c r="R78" i="5"/>
  <c r="N78" i="5"/>
  <c r="L78" i="5"/>
  <c r="O78" i="5" s="1"/>
  <c r="R77" i="5"/>
  <c r="N77" i="5"/>
  <c r="L77" i="5"/>
  <c r="R76" i="5"/>
  <c r="N76" i="5"/>
  <c r="L76" i="5"/>
  <c r="R75" i="5"/>
  <c r="N75" i="5"/>
  <c r="L75" i="5"/>
  <c r="R74" i="5"/>
  <c r="N74" i="5"/>
  <c r="L74" i="5"/>
  <c r="R73" i="5"/>
  <c r="N73" i="5"/>
  <c r="L73" i="5"/>
  <c r="R72" i="5"/>
  <c r="N72" i="5"/>
  <c r="L72" i="5"/>
  <c r="R71" i="5"/>
  <c r="O71" i="5"/>
  <c r="N71" i="5"/>
  <c r="L71" i="5"/>
  <c r="R70" i="5"/>
  <c r="N70" i="5"/>
  <c r="L70" i="5"/>
  <c r="R69" i="5"/>
  <c r="N69" i="5"/>
  <c r="L69" i="5"/>
  <c r="R68" i="5"/>
  <c r="N68" i="5"/>
  <c r="L68" i="5"/>
  <c r="R67" i="5"/>
  <c r="N67" i="5"/>
  <c r="L67" i="5"/>
  <c r="R66" i="5"/>
  <c r="N66" i="5"/>
  <c r="L66" i="5"/>
  <c r="R65" i="5"/>
  <c r="N65" i="5"/>
  <c r="L65" i="5"/>
  <c r="R64" i="5"/>
  <c r="N64" i="5"/>
  <c r="L64" i="5"/>
  <c r="R63" i="5"/>
  <c r="N63" i="5"/>
  <c r="L63" i="5"/>
  <c r="R62" i="5"/>
  <c r="N62" i="5"/>
  <c r="L62" i="5"/>
  <c r="R61" i="5"/>
  <c r="N61" i="5"/>
  <c r="L61" i="5"/>
  <c r="R60" i="5"/>
  <c r="N60" i="5"/>
  <c r="L60" i="5"/>
  <c r="R59" i="5"/>
  <c r="N59" i="5"/>
  <c r="L59" i="5"/>
  <c r="R58" i="5"/>
  <c r="N58" i="5"/>
  <c r="L58" i="5"/>
  <c r="R57" i="5"/>
  <c r="N57" i="5"/>
  <c r="L57" i="5"/>
  <c r="R56" i="5"/>
  <c r="N56" i="5"/>
  <c r="L56" i="5"/>
  <c r="R55" i="5"/>
  <c r="N55" i="5"/>
  <c r="L55" i="5"/>
  <c r="R54" i="5"/>
  <c r="N54" i="5"/>
  <c r="L54" i="5"/>
  <c r="R53" i="5"/>
  <c r="N53" i="5"/>
  <c r="L53" i="5"/>
  <c r="R52" i="5"/>
  <c r="N52" i="5"/>
  <c r="L52" i="5"/>
  <c r="R51" i="5"/>
  <c r="N51" i="5"/>
  <c r="L51" i="5"/>
  <c r="R50" i="5"/>
  <c r="N50" i="5"/>
  <c r="L50" i="5"/>
  <c r="R49" i="5"/>
  <c r="N49" i="5"/>
  <c r="L49" i="5"/>
  <c r="R48" i="5"/>
  <c r="N48" i="5"/>
  <c r="L48" i="5"/>
  <c r="R47" i="5"/>
  <c r="N47" i="5"/>
  <c r="L47" i="5"/>
  <c r="R46" i="5"/>
  <c r="N46" i="5"/>
  <c r="L46" i="5"/>
  <c r="R45" i="5"/>
  <c r="N45" i="5"/>
  <c r="L45" i="5"/>
  <c r="R44" i="5"/>
  <c r="N44" i="5"/>
  <c r="L44" i="5"/>
  <c r="R43" i="5"/>
  <c r="N43" i="5"/>
  <c r="L43" i="5"/>
  <c r="R42" i="5"/>
  <c r="N42" i="5"/>
  <c r="L42" i="5"/>
  <c r="R41" i="5"/>
  <c r="N41" i="5"/>
  <c r="L41" i="5"/>
  <c r="R40" i="5"/>
  <c r="N40" i="5"/>
  <c r="L40" i="5"/>
  <c r="R39" i="5"/>
  <c r="N39" i="5"/>
  <c r="L39" i="5"/>
  <c r="R38" i="5"/>
  <c r="N38" i="5"/>
  <c r="L38" i="5"/>
  <c r="R37" i="5"/>
  <c r="N37" i="5"/>
  <c r="L37" i="5"/>
  <c r="R36" i="5"/>
  <c r="N36" i="5"/>
  <c r="L36" i="5"/>
  <c r="R35" i="5"/>
  <c r="N35" i="5"/>
  <c r="L35" i="5"/>
  <c r="R34" i="5"/>
  <c r="N34" i="5"/>
  <c r="L34" i="5"/>
  <c r="R33" i="5"/>
  <c r="N33" i="5"/>
  <c r="L33" i="5"/>
  <c r="R32" i="5"/>
  <c r="N32" i="5"/>
  <c r="L32" i="5"/>
  <c r="R31" i="5"/>
  <c r="N31" i="5"/>
  <c r="L31" i="5"/>
  <c r="R30" i="5"/>
  <c r="N30" i="5"/>
  <c r="L30" i="5"/>
  <c r="R29" i="5"/>
  <c r="N29" i="5"/>
  <c r="L29" i="5"/>
  <c r="R28" i="5"/>
  <c r="N28" i="5"/>
  <c r="L28" i="5"/>
  <c r="R27" i="5"/>
  <c r="N27" i="5"/>
  <c r="L27" i="5"/>
  <c r="R26" i="5"/>
  <c r="N26" i="5"/>
  <c r="L26" i="5"/>
  <c r="R25" i="5"/>
  <c r="N25" i="5"/>
  <c r="L25" i="5"/>
  <c r="R24" i="5"/>
  <c r="N24" i="5"/>
  <c r="L24" i="5"/>
  <c r="R23" i="5"/>
  <c r="N23" i="5"/>
  <c r="L23" i="5"/>
  <c r="R22" i="5"/>
  <c r="N22" i="5"/>
  <c r="L22" i="5"/>
  <c r="R21" i="5"/>
  <c r="N21" i="5"/>
  <c r="L21" i="5"/>
  <c r="R20" i="5"/>
  <c r="N20" i="5"/>
  <c r="L20" i="5"/>
  <c r="R19" i="5"/>
  <c r="N19" i="5"/>
  <c r="L19" i="5"/>
  <c r="R18" i="5"/>
  <c r="N18" i="5"/>
  <c r="L18" i="5"/>
  <c r="R17" i="5"/>
  <c r="N17" i="5"/>
  <c r="L17" i="5"/>
  <c r="R16" i="5"/>
  <c r="N16" i="5"/>
  <c r="L16" i="5"/>
  <c r="R15" i="5"/>
  <c r="N15" i="5"/>
  <c r="L15" i="5"/>
  <c r="R14" i="5"/>
  <c r="N14" i="5"/>
  <c r="L14" i="5"/>
  <c r="R13" i="5"/>
  <c r="N13" i="5"/>
  <c r="L13" i="5"/>
  <c r="R12" i="5"/>
  <c r="N12" i="5"/>
  <c r="L12" i="5"/>
  <c r="R11" i="5"/>
  <c r="N11" i="5"/>
  <c r="L11" i="5"/>
  <c r="B3" i="5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B3" i="4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B3" i="3"/>
  <c r="L51" i="1"/>
  <c r="N6" i="1" s="1"/>
  <c r="B10" i="5" s="1"/>
  <c r="K51" i="1"/>
  <c r="J48" i="1"/>
  <c r="I48" i="1"/>
  <c r="I47" i="1"/>
  <c r="J43" i="1"/>
  <c r="K42" i="1"/>
  <c r="H37" i="1"/>
  <c r="L36" i="1"/>
  <c r="N7" i="1" s="1"/>
  <c r="B10" i="6" s="1"/>
  <c r="K36" i="1"/>
  <c r="M7" i="1" s="1"/>
  <c r="B9" i="6" s="1"/>
  <c r="H35" i="1"/>
  <c r="G35" i="1"/>
  <c r="F35" i="1"/>
  <c r="G34" i="1"/>
  <c r="H33" i="1"/>
  <c r="G33" i="1"/>
  <c r="F33" i="1"/>
  <c r="I32" i="1"/>
  <c r="H31" i="1"/>
  <c r="G26" i="1"/>
  <c r="F26" i="1"/>
  <c r="L24" i="1"/>
  <c r="N5" i="1" s="1"/>
  <c r="B10" i="4" s="1"/>
  <c r="G24" i="1"/>
  <c r="F23" i="1"/>
  <c r="F22" i="1"/>
  <c r="K19" i="1"/>
  <c r="F19" i="1"/>
  <c r="K18" i="1"/>
  <c r="F18" i="1"/>
  <c r="L17" i="1"/>
  <c r="N4" i="1" s="1"/>
  <c r="B10" i="3" s="1"/>
  <c r="K17" i="1"/>
  <c r="F15" i="1"/>
  <c r="F14" i="1"/>
  <c r="F13" i="1"/>
  <c r="N8" i="1"/>
  <c r="M8" i="1"/>
  <c r="L8" i="1"/>
  <c r="K8" i="1"/>
  <c r="J8" i="1"/>
  <c r="I8" i="1"/>
  <c r="H8" i="1"/>
  <c r="L7" i="1"/>
  <c r="B8" i="6" s="1"/>
  <c r="K7" i="1"/>
  <c r="B7" i="6" s="1"/>
  <c r="J6" i="1"/>
  <c r="B6" i="5" s="1"/>
  <c r="I6" i="1"/>
  <c r="B5" i="5" s="1"/>
  <c r="H6" i="1"/>
  <c r="B4" i="5" s="1"/>
  <c r="M5" i="1"/>
  <c r="B9" i="4" s="1"/>
  <c r="L5" i="1"/>
  <c r="B8" i="4" s="1"/>
  <c r="K5" i="1"/>
  <c r="B7" i="4" s="1"/>
  <c r="J5" i="1"/>
  <c r="B6" i="4" s="1"/>
  <c r="L4" i="1"/>
  <c r="B8" i="3" s="1"/>
  <c r="K4" i="1"/>
  <c r="B7" i="3" s="1"/>
  <c r="J4" i="1"/>
  <c r="B6" i="3" s="1"/>
  <c r="I4" i="1"/>
  <c r="B5" i="3" s="1"/>
  <c r="O250" i="5" l="1"/>
  <c r="O254" i="5"/>
  <c r="O288" i="5"/>
  <c r="O292" i="5"/>
  <c r="O304" i="5"/>
  <c r="O266" i="5"/>
  <c r="O270" i="5"/>
  <c r="O274" i="5"/>
  <c r="O278" i="5"/>
  <c r="O286" i="5"/>
  <c r="O290" i="5"/>
  <c r="O294" i="5"/>
  <c r="O28" i="5"/>
  <c r="O32" i="5"/>
  <c r="O33" i="5"/>
  <c r="O37" i="5"/>
  <c r="O41" i="5"/>
  <c r="O45" i="5"/>
  <c r="O49" i="5"/>
  <c r="O57" i="5"/>
  <c r="O85" i="5"/>
  <c r="O97" i="5"/>
  <c r="O101" i="5"/>
  <c r="O117" i="5"/>
  <c r="O121" i="5"/>
  <c r="O137" i="5"/>
  <c r="O185" i="5"/>
  <c r="O193" i="5"/>
  <c r="O229" i="5"/>
  <c r="M4" i="1"/>
  <c r="B9" i="3" s="1"/>
  <c r="M6" i="1"/>
  <c r="B9" i="5" s="1"/>
  <c r="L6" i="1"/>
  <c r="B8" i="5" s="1"/>
  <c r="Q319" i="5" s="1"/>
  <c r="O26" i="5"/>
  <c r="O30" i="5"/>
  <c r="O298" i="5"/>
  <c r="O302" i="5"/>
  <c r="O241" i="5"/>
  <c r="O245" i="5"/>
  <c r="O249" i="5"/>
  <c r="O253" i="5"/>
  <c r="O261" i="5"/>
  <c r="O265" i="5"/>
  <c r="O269" i="5"/>
  <c r="O273" i="5"/>
  <c r="O277" i="5"/>
  <c r="O313" i="5"/>
  <c r="O317" i="5"/>
  <c r="O325" i="5"/>
  <c r="O329" i="5"/>
  <c r="O306" i="5"/>
  <c r="O310" i="5"/>
  <c r="O326" i="5"/>
  <c r="O330" i="5"/>
  <c r="O24" i="5"/>
  <c r="I5" i="1"/>
  <c r="B5" i="4" s="1"/>
  <c r="Q285" i="4" s="1"/>
  <c r="O17" i="5"/>
  <c r="O21" i="5"/>
  <c r="O144" i="5"/>
  <c r="O196" i="5"/>
  <c r="O236" i="5"/>
  <c r="O324" i="5"/>
  <c r="O133" i="5"/>
  <c r="O181" i="5"/>
  <c r="O197" i="5"/>
  <c r="K6" i="1"/>
  <c r="B7" i="5" s="1"/>
  <c r="O34" i="5"/>
  <c r="O38" i="5"/>
  <c r="O62" i="5"/>
  <c r="O70" i="5"/>
  <c r="O15" i="5"/>
  <c r="O19" i="5"/>
  <c r="O23" i="5"/>
  <c r="O86" i="5"/>
  <c r="O98" i="5"/>
  <c r="O122" i="5"/>
  <c r="O134" i="5"/>
  <c r="O39" i="5"/>
  <c r="O43" i="5"/>
  <c r="O51" i="5"/>
  <c r="O59" i="5"/>
  <c r="O67" i="5"/>
  <c r="O99" i="5"/>
  <c r="O119" i="5"/>
  <c r="O139" i="5"/>
  <c r="O143" i="5"/>
  <c r="O147" i="5"/>
  <c r="O151" i="5"/>
  <c r="O171" i="5"/>
  <c r="O175" i="5"/>
  <c r="O179" i="5"/>
  <c r="O183" i="5"/>
  <c r="O187" i="5"/>
  <c r="O191" i="5"/>
  <c r="O195" i="5"/>
  <c r="O227" i="5"/>
  <c r="O231" i="5"/>
  <c r="O235" i="5"/>
  <c r="O239" i="5"/>
  <c r="O247" i="5"/>
  <c r="O255" i="5"/>
  <c r="O259" i="5"/>
  <c r="O263" i="5"/>
  <c r="O267" i="5"/>
  <c r="O315" i="5"/>
  <c r="O319" i="5"/>
  <c r="O29" i="5"/>
  <c r="O103" i="5"/>
  <c r="O107" i="5"/>
  <c r="O138" i="5"/>
  <c r="O201" i="5"/>
  <c r="O205" i="5"/>
  <c r="O209" i="5"/>
  <c r="O213" i="5"/>
  <c r="O217" i="5"/>
  <c r="O221" i="5"/>
  <c r="O316" i="5"/>
  <c r="O281" i="5"/>
  <c r="O285" i="5"/>
  <c r="O14" i="5"/>
  <c r="O18" i="5"/>
  <c r="O22" i="5"/>
  <c r="O77" i="5"/>
  <c r="O81" i="5"/>
  <c r="O100" i="5"/>
  <c r="O127" i="5"/>
  <c r="O131" i="5"/>
  <c r="O186" i="5"/>
  <c r="O190" i="5"/>
  <c r="O257" i="5"/>
  <c r="O289" i="5"/>
  <c r="O293" i="5"/>
  <c r="O297" i="5"/>
  <c r="O301" i="5"/>
  <c r="O305" i="5"/>
  <c r="O309" i="5"/>
  <c r="O321" i="5"/>
  <c r="O159" i="5"/>
  <c r="O282" i="5"/>
  <c r="O136" i="5"/>
  <c r="O199" i="5"/>
  <c r="O211" i="5"/>
  <c r="O215" i="5"/>
  <c r="O219" i="5"/>
  <c r="O223" i="5"/>
  <c r="O314" i="5"/>
  <c r="O318" i="5"/>
  <c r="O322" i="5"/>
  <c r="H5" i="1"/>
  <c r="B4" i="4" s="1"/>
  <c r="N321" i="4" s="1"/>
  <c r="O321" i="4" s="1"/>
  <c r="H7" i="1"/>
  <c r="B4" i="6" s="1"/>
  <c r="O279" i="5"/>
  <c r="I7" i="1"/>
  <c r="B5" i="6" s="1"/>
  <c r="Q201" i="6" s="1"/>
  <c r="O12" i="5"/>
  <c r="O16" i="5"/>
  <c r="O20" i="5"/>
  <c r="O83" i="5"/>
  <c r="O90" i="5"/>
  <c r="O125" i="5"/>
  <c r="O129" i="5"/>
  <c r="O164" i="5"/>
  <c r="O168" i="5"/>
  <c r="O184" i="5"/>
  <c r="O188" i="5"/>
  <c r="O243" i="5"/>
  <c r="O251" i="5"/>
  <c r="O287" i="5"/>
  <c r="O291" i="5"/>
  <c r="O295" i="5"/>
  <c r="O299" i="5"/>
  <c r="O303" i="5"/>
  <c r="O307" i="5"/>
  <c r="H4" i="1"/>
  <c r="B4" i="3" s="1"/>
  <c r="N198" i="3" s="1"/>
  <c r="O198" i="3" s="1"/>
  <c r="O40" i="5"/>
  <c r="O44" i="5"/>
  <c r="O48" i="5"/>
  <c r="O52" i="5"/>
  <c r="O56" i="5"/>
  <c r="O60" i="5"/>
  <c r="O68" i="5"/>
  <c r="O118" i="5"/>
  <c r="O153" i="5"/>
  <c r="O157" i="5"/>
  <c r="O161" i="5"/>
  <c r="O173" i="5"/>
  <c r="O177" i="5"/>
  <c r="O228" i="5"/>
  <c r="O240" i="5"/>
  <c r="O252" i="5"/>
  <c r="O256" i="5"/>
  <c r="O264" i="5"/>
  <c r="O284" i="5"/>
  <c r="O58" i="5"/>
  <c r="O84" i="5"/>
  <c r="O105" i="5"/>
  <c r="O66" i="5"/>
  <c r="O95" i="5"/>
  <c r="O262" i="5"/>
  <c r="O73" i="5"/>
  <c r="O169" i="5"/>
  <c r="O96" i="5"/>
  <c r="J7" i="1"/>
  <c r="B6" i="6" s="1"/>
  <c r="R88" i="6" s="1"/>
  <c r="O89" i="5"/>
  <c r="O114" i="5"/>
  <c r="O13" i="5"/>
  <c r="O31" i="5"/>
  <c r="O42" i="5"/>
  <c r="O64" i="5"/>
  <c r="O82" i="5"/>
  <c r="O93" i="5"/>
  <c r="O140" i="5"/>
  <c r="O155" i="5"/>
  <c r="O203" i="5"/>
  <c r="O225" i="5"/>
  <c r="O232" i="5"/>
  <c r="O271" i="5"/>
  <c r="O275" i="5"/>
  <c r="O323" i="5"/>
  <c r="O46" i="5"/>
  <c r="O53" i="5"/>
  <c r="O75" i="5"/>
  <c r="O115" i="5"/>
  <c r="O163" i="5"/>
  <c r="O167" i="5"/>
  <c r="O47" i="5"/>
  <c r="O120" i="5"/>
  <c r="O55" i="5"/>
  <c r="O50" i="5"/>
  <c r="O61" i="5"/>
  <c r="O65" i="5"/>
  <c r="O94" i="5"/>
  <c r="O108" i="5"/>
  <c r="O130" i="5"/>
  <c r="O156" i="5"/>
  <c r="O189" i="5"/>
  <c r="O233" i="5"/>
  <c r="O272" i="5"/>
  <c r="O276" i="5"/>
  <c r="O327" i="5"/>
  <c r="O109" i="5"/>
  <c r="O149" i="5"/>
  <c r="O25" i="5"/>
  <c r="O36" i="5"/>
  <c r="O54" i="5"/>
  <c r="O72" i="5"/>
  <c r="O76" i="5"/>
  <c r="O87" i="5"/>
  <c r="O112" i="5"/>
  <c r="O116" i="5"/>
  <c r="O145" i="5"/>
  <c r="O160" i="5"/>
  <c r="O237" i="5"/>
  <c r="O244" i="5"/>
  <c r="O268" i="5"/>
  <c r="O283" i="5"/>
  <c r="O296" i="5"/>
  <c r="O300" i="5"/>
  <c r="O331" i="5"/>
  <c r="N324" i="6"/>
  <c r="O324" i="6" s="1"/>
  <c r="N312" i="6"/>
  <c r="O312" i="6" s="1"/>
  <c r="N300" i="6"/>
  <c r="O300" i="6" s="1"/>
  <c r="N288" i="6"/>
  <c r="O288" i="6" s="1"/>
  <c r="N276" i="6"/>
  <c r="O276" i="6" s="1"/>
  <c r="N264" i="6"/>
  <c r="O264" i="6" s="1"/>
  <c r="N252" i="6"/>
  <c r="O252" i="6" s="1"/>
  <c r="N240" i="6"/>
  <c r="O240" i="6" s="1"/>
  <c r="N228" i="6"/>
  <c r="O228" i="6" s="1"/>
  <c r="N216" i="6"/>
  <c r="O216" i="6" s="1"/>
  <c r="N204" i="6"/>
  <c r="O204" i="6" s="1"/>
  <c r="N192" i="6"/>
  <c r="O192" i="6" s="1"/>
  <c r="N180" i="6"/>
  <c r="O180" i="6" s="1"/>
  <c r="N168" i="6"/>
  <c r="O168" i="6" s="1"/>
  <c r="N156" i="6"/>
  <c r="O156" i="6" s="1"/>
  <c r="N144" i="6"/>
  <c r="O144" i="6" s="1"/>
  <c r="N331" i="6"/>
  <c r="O331" i="6" s="1"/>
  <c r="N319" i="6"/>
  <c r="O319" i="6" s="1"/>
  <c r="N307" i="6"/>
  <c r="O307" i="6" s="1"/>
  <c r="N295" i="6"/>
  <c r="O295" i="6" s="1"/>
  <c r="N283" i="6"/>
  <c r="O283" i="6" s="1"/>
  <c r="N271" i="6"/>
  <c r="O271" i="6" s="1"/>
  <c r="N259" i="6"/>
  <c r="O259" i="6" s="1"/>
  <c r="N247" i="6"/>
  <c r="O247" i="6" s="1"/>
  <c r="N235" i="6"/>
  <c r="O235" i="6" s="1"/>
  <c r="N223" i="6"/>
  <c r="O223" i="6" s="1"/>
  <c r="N211" i="6"/>
  <c r="O211" i="6" s="1"/>
  <c r="N199" i="6"/>
  <c r="O199" i="6" s="1"/>
  <c r="N187" i="6"/>
  <c r="O187" i="6" s="1"/>
  <c r="N175" i="6"/>
  <c r="O175" i="6" s="1"/>
  <c r="N163" i="6"/>
  <c r="O163" i="6" s="1"/>
  <c r="N151" i="6"/>
  <c r="O151" i="6" s="1"/>
  <c r="N139" i="6"/>
  <c r="O139" i="6" s="1"/>
  <c r="N127" i="6"/>
  <c r="O127" i="6" s="1"/>
  <c r="N115" i="6"/>
  <c r="O115" i="6" s="1"/>
  <c r="N103" i="6"/>
  <c r="O103" i="6" s="1"/>
  <c r="N91" i="6"/>
  <c r="O91" i="6" s="1"/>
  <c r="N79" i="6"/>
  <c r="O79" i="6" s="1"/>
  <c r="N326" i="6"/>
  <c r="O326" i="6" s="1"/>
  <c r="N314" i="6"/>
  <c r="O314" i="6" s="1"/>
  <c r="N302" i="6"/>
  <c r="O302" i="6" s="1"/>
  <c r="N290" i="6"/>
  <c r="O290" i="6" s="1"/>
  <c r="N278" i="6"/>
  <c r="O278" i="6" s="1"/>
  <c r="N266" i="6"/>
  <c r="O266" i="6" s="1"/>
  <c r="N254" i="6"/>
  <c r="O254" i="6" s="1"/>
  <c r="N242" i="6"/>
  <c r="O242" i="6" s="1"/>
  <c r="N230" i="6"/>
  <c r="O230" i="6" s="1"/>
  <c r="N218" i="6"/>
  <c r="O218" i="6" s="1"/>
  <c r="N206" i="6"/>
  <c r="O206" i="6" s="1"/>
  <c r="N194" i="6"/>
  <c r="O194" i="6" s="1"/>
  <c r="N182" i="6"/>
  <c r="O182" i="6" s="1"/>
  <c r="N170" i="6"/>
  <c r="O170" i="6" s="1"/>
  <c r="N158" i="6"/>
  <c r="O158" i="6" s="1"/>
  <c r="N146" i="6"/>
  <c r="O146" i="6" s="1"/>
  <c r="N134" i="6"/>
  <c r="O134" i="6" s="1"/>
  <c r="N122" i="6"/>
  <c r="O122" i="6" s="1"/>
  <c r="N110" i="6"/>
  <c r="N98" i="6"/>
  <c r="O98" i="6" s="1"/>
  <c r="N86" i="6"/>
  <c r="O86" i="6" s="1"/>
  <c r="N321" i="6"/>
  <c r="O321" i="6" s="1"/>
  <c r="N309" i="6"/>
  <c r="O309" i="6" s="1"/>
  <c r="N328" i="6"/>
  <c r="O328" i="6" s="1"/>
  <c r="N316" i="6"/>
  <c r="O316" i="6" s="1"/>
  <c r="N304" i="6"/>
  <c r="O304" i="6" s="1"/>
  <c r="N292" i="6"/>
  <c r="O292" i="6" s="1"/>
  <c r="N280" i="6"/>
  <c r="O280" i="6" s="1"/>
  <c r="N268" i="6"/>
  <c r="O268" i="6" s="1"/>
  <c r="N256" i="6"/>
  <c r="O256" i="6" s="1"/>
  <c r="N244" i="6"/>
  <c r="O244" i="6" s="1"/>
  <c r="N232" i="6"/>
  <c r="O232" i="6" s="1"/>
  <c r="N220" i="6"/>
  <c r="O220" i="6" s="1"/>
  <c r="N208" i="6"/>
  <c r="O208" i="6" s="1"/>
  <c r="N196" i="6"/>
  <c r="O196" i="6" s="1"/>
  <c r="N184" i="6"/>
  <c r="O184" i="6" s="1"/>
  <c r="N172" i="6"/>
  <c r="O172" i="6" s="1"/>
  <c r="N160" i="6"/>
  <c r="O160" i="6" s="1"/>
  <c r="N148" i="6"/>
  <c r="O148" i="6" s="1"/>
  <c r="N136" i="6"/>
  <c r="O136" i="6" s="1"/>
  <c r="N124" i="6"/>
  <c r="O124" i="6" s="1"/>
  <c r="N112" i="6"/>
  <c r="O112" i="6" s="1"/>
  <c r="N100" i="6"/>
  <c r="O100" i="6" s="1"/>
  <c r="N88" i="6"/>
  <c r="O88" i="6" s="1"/>
  <c r="N323" i="6"/>
  <c r="O323" i="6" s="1"/>
  <c r="N311" i="6"/>
  <c r="O311" i="6" s="1"/>
  <c r="N299" i="6"/>
  <c r="O299" i="6" s="1"/>
  <c r="N287" i="6"/>
  <c r="O287" i="6" s="1"/>
  <c r="N275" i="6"/>
  <c r="N263" i="6"/>
  <c r="O263" i="6" s="1"/>
  <c r="N251" i="6"/>
  <c r="O251" i="6" s="1"/>
  <c r="N239" i="6"/>
  <c r="O239" i="6" s="1"/>
  <c r="N227" i="6"/>
  <c r="N215" i="6"/>
  <c r="O215" i="6" s="1"/>
  <c r="N203" i="6"/>
  <c r="O203" i="6" s="1"/>
  <c r="N191" i="6"/>
  <c r="O191" i="6" s="1"/>
  <c r="N179" i="6"/>
  <c r="N167" i="6"/>
  <c r="O167" i="6" s="1"/>
  <c r="N155" i="6"/>
  <c r="O155" i="6" s="1"/>
  <c r="N143" i="6"/>
  <c r="O143" i="6" s="1"/>
  <c r="N131" i="6"/>
  <c r="N119" i="6"/>
  <c r="O119" i="6" s="1"/>
  <c r="N107" i="6"/>
  <c r="O107" i="6" s="1"/>
  <c r="N95" i="6"/>
  <c r="O95" i="6" s="1"/>
  <c r="N83" i="6"/>
  <c r="O83" i="6" s="1"/>
  <c r="N330" i="6"/>
  <c r="O330" i="6" s="1"/>
  <c r="N325" i="6"/>
  <c r="O325" i="6" s="1"/>
  <c r="N313" i="6"/>
  <c r="O313" i="6" s="1"/>
  <c r="N301" i="6"/>
  <c r="O301" i="6" s="1"/>
  <c r="N289" i="6"/>
  <c r="O289" i="6" s="1"/>
  <c r="N277" i="6"/>
  <c r="O277" i="6" s="1"/>
  <c r="N265" i="6"/>
  <c r="O265" i="6" s="1"/>
  <c r="N253" i="6"/>
  <c r="O253" i="6" s="1"/>
  <c r="N241" i="6"/>
  <c r="O241" i="6" s="1"/>
  <c r="N229" i="6"/>
  <c r="O229" i="6" s="1"/>
  <c r="N217" i="6"/>
  <c r="O217" i="6" s="1"/>
  <c r="N205" i="6"/>
  <c r="O205" i="6" s="1"/>
  <c r="N193" i="6"/>
  <c r="O193" i="6" s="1"/>
  <c r="N181" i="6"/>
  <c r="O181" i="6" s="1"/>
  <c r="N169" i="6"/>
  <c r="O169" i="6" s="1"/>
  <c r="N157" i="6"/>
  <c r="O157" i="6" s="1"/>
  <c r="N145" i="6"/>
  <c r="O145" i="6" s="1"/>
  <c r="N133" i="6"/>
  <c r="O133" i="6" s="1"/>
  <c r="N121" i="6"/>
  <c r="O121" i="6" s="1"/>
  <c r="N109" i="6"/>
  <c r="O109" i="6" s="1"/>
  <c r="N97" i="6"/>
  <c r="O97" i="6" s="1"/>
  <c r="N85" i="6"/>
  <c r="O85" i="6" s="1"/>
  <c r="N303" i="6"/>
  <c r="O303" i="6" s="1"/>
  <c r="N294" i="6"/>
  <c r="O294" i="6" s="1"/>
  <c r="N282" i="6"/>
  <c r="O282" i="6" s="1"/>
  <c r="N270" i="6"/>
  <c r="N258" i="6"/>
  <c r="O258" i="6" s="1"/>
  <c r="N246" i="6"/>
  <c r="O246" i="6" s="1"/>
  <c r="N234" i="6"/>
  <c r="O234" i="6" s="1"/>
  <c r="N222" i="6"/>
  <c r="O222" i="6" s="1"/>
  <c r="N210" i="6"/>
  <c r="O210" i="6" s="1"/>
  <c r="N198" i="6"/>
  <c r="O198" i="6" s="1"/>
  <c r="N186" i="6"/>
  <c r="O186" i="6" s="1"/>
  <c r="N174" i="6"/>
  <c r="O174" i="6" s="1"/>
  <c r="N162" i="6"/>
  <c r="O162" i="6" s="1"/>
  <c r="N150" i="6"/>
  <c r="O150" i="6" s="1"/>
  <c r="N117" i="6"/>
  <c r="O117" i="6" s="1"/>
  <c r="N81" i="6"/>
  <c r="O81" i="6" s="1"/>
  <c r="N70" i="6"/>
  <c r="O70" i="6" s="1"/>
  <c r="N58" i="6"/>
  <c r="O58" i="6" s="1"/>
  <c r="N46" i="6"/>
  <c r="O46" i="6" s="1"/>
  <c r="N34" i="6"/>
  <c r="O34" i="6" s="1"/>
  <c r="N22" i="6"/>
  <c r="O22" i="6" s="1"/>
  <c r="N320" i="6"/>
  <c r="O320" i="6" s="1"/>
  <c r="N298" i="6"/>
  <c r="O298" i="6" s="1"/>
  <c r="N286" i="6"/>
  <c r="O286" i="6" s="1"/>
  <c r="N274" i="6"/>
  <c r="O274" i="6" s="1"/>
  <c r="N262" i="6"/>
  <c r="O262" i="6" s="1"/>
  <c r="N250" i="6"/>
  <c r="O250" i="6" s="1"/>
  <c r="N238" i="6"/>
  <c r="N226" i="6"/>
  <c r="O226" i="6" s="1"/>
  <c r="N214" i="6"/>
  <c r="O214" i="6" s="1"/>
  <c r="N202" i="6"/>
  <c r="O202" i="6" s="1"/>
  <c r="N190" i="6"/>
  <c r="O190" i="6" s="1"/>
  <c r="N178" i="6"/>
  <c r="O178" i="6" s="1"/>
  <c r="N166" i="6"/>
  <c r="O166" i="6" s="1"/>
  <c r="N154" i="6"/>
  <c r="O154" i="6" s="1"/>
  <c r="N142" i="6"/>
  <c r="O142" i="6" s="1"/>
  <c r="N135" i="6"/>
  <c r="O135" i="6" s="1"/>
  <c r="N106" i="6"/>
  <c r="O106" i="6" s="1"/>
  <c r="N99" i="6"/>
  <c r="O99" i="6" s="1"/>
  <c r="N65" i="6"/>
  <c r="O65" i="6" s="1"/>
  <c r="N53" i="6"/>
  <c r="O53" i="6" s="1"/>
  <c r="N41" i="6"/>
  <c r="O41" i="6" s="1"/>
  <c r="N29" i="6"/>
  <c r="O29" i="6" s="1"/>
  <c r="N17" i="6"/>
  <c r="O17" i="6" s="1"/>
  <c r="N306" i="6"/>
  <c r="O306" i="6" s="1"/>
  <c r="N138" i="6"/>
  <c r="O138" i="6" s="1"/>
  <c r="N102" i="6"/>
  <c r="O102" i="6" s="1"/>
  <c r="N329" i="6"/>
  <c r="O329" i="6" s="1"/>
  <c r="N297" i="6"/>
  <c r="O297" i="6" s="1"/>
  <c r="N285" i="6"/>
  <c r="O285" i="6" s="1"/>
  <c r="N273" i="6"/>
  <c r="O273" i="6" s="1"/>
  <c r="N261" i="6"/>
  <c r="O261" i="6" s="1"/>
  <c r="N249" i="6"/>
  <c r="N237" i="6"/>
  <c r="O237" i="6" s="1"/>
  <c r="N225" i="6"/>
  <c r="O225" i="6" s="1"/>
  <c r="N213" i="6"/>
  <c r="O213" i="6" s="1"/>
  <c r="N201" i="6"/>
  <c r="O201" i="6" s="1"/>
  <c r="N189" i="6"/>
  <c r="O189" i="6" s="1"/>
  <c r="N177" i="6"/>
  <c r="O177" i="6" s="1"/>
  <c r="N165" i="6"/>
  <c r="O165" i="6" s="1"/>
  <c r="N153" i="6"/>
  <c r="O153" i="6" s="1"/>
  <c r="N120" i="6"/>
  <c r="O120" i="6" s="1"/>
  <c r="N116" i="6"/>
  <c r="O116" i="6" s="1"/>
  <c r="N113" i="6"/>
  <c r="N84" i="6"/>
  <c r="O84" i="6" s="1"/>
  <c r="N80" i="6"/>
  <c r="O80" i="6" s="1"/>
  <c r="N77" i="6"/>
  <c r="O77" i="6" s="1"/>
  <c r="N67" i="6"/>
  <c r="O67" i="6" s="1"/>
  <c r="N55" i="6"/>
  <c r="O55" i="6" s="1"/>
  <c r="N43" i="6"/>
  <c r="O43" i="6" s="1"/>
  <c r="N31" i="6"/>
  <c r="O31" i="6" s="1"/>
  <c r="N19" i="6"/>
  <c r="O19" i="6" s="1"/>
  <c r="N315" i="6"/>
  <c r="O315" i="6" s="1"/>
  <c r="N310" i="6"/>
  <c r="O310" i="6" s="1"/>
  <c r="N293" i="6"/>
  <c r="O293" i="6" s="1"/>
  <c r="N281" i="6"/>
  <c r="O281" i="6" s="1"/>
  <c r="N269" i="6"/>
  <c r="O269" i="6" s="1"/>
  <c r="N257" i="6"/>
  <c r="O257" i="6" s="1"/>
  <c r="N245" i="6"/>
  <c r="O245" i="6" s="1"/>
  <c r="N233" i="6"/>
  <c r="O233" i="6" s="1"/>
  <c r="N221" i="6"/>
  <c r="O221" i="6" s="1"/>
  <c r="N209" i="6"/>
  <c r="O209" i="6" s="1"/>
  <c r="N197" i="6"/>
  <c r="O197" i="6" s="1"/>
  <c r="N185" i="6"/>
  <c r="O185" i="6" s="1"/>
  <c r="N173" i="6"/>
  <c r="O173" i="6" s="1"/>
  <c r="N161" i="6"/>
  <c r="O161" i="6" s="1"/>
  <c r="N149" i="6"/>
  <c r="O149" i="6" s="1"/>
  <c r="N130" i="6"/>
  <c r="O130" i="6" s="1"/>
  <c r="N123" i="6"/>
  <c r="O123" i="6" s="1"/>
  <c r="N94" i="6"/>
  <c r="O94" i="6" s="1"/>
  <c r="N87" i="6"/>
  <c r="O87" i="6" s="1"/>
  <c r="N69" i="6"/>
  <c r="O69" i="6" s="1"/>
  <c r="N318" i="6"/>
  <c r="O318" i="6" s="1"/>
  <c r="N296" i="6"/>
  <c r="O296" i="6" s="1"/>
  <c r="N284" i="6"/>
  <c r="O284" i="6" s="1"/>
  <c r="N272" i="6"/>
  <c r="O272" i="6" s="1"/>
  <c r="N125" i="6"/>
  <c r="O125" i="6" s="1"/>
  <c r="N108" i="6"/>
  <c r="O108" i="6" s="1"/>
  <c r="N56" i="6"/>
  <c r="O56" i="6" s="1"/>
  <c r="N44" i="6"/>
  <c r="O44" i="6" s="1"/>
  <c r="N32" i="6"/>
  <c r="O32" i="6" s="1"/>
  <c r="N20" i="6"/>
  <c r="O20" i="6" s="1"/>
  <c r="N308" i="6"/>
  <c r="O308" i="6" s="1"/>
  <c r="N129" i="6"/>
  <c r="O129" i="6" s="1"/>
  <c r="N93" i="6"/>
  <c r="O93" i="6" s="1"/>
  <c r="N89" i="6"/>
  <c r="O89" i="6" s="1"/>
  <c r="N322" i="6"/>
  <c r="O322" i="6" s="1"/>
  <c r="N118" i="6"/>
  <c r="O118" i="6" s="1"/>
  <c r="N78" i="6"/>
  <c r="O78" i="6" s="1"/>
  <c r="N74" i="6"/>
  <c r="O74" i="6" s="1"/>
  <c r="N71" i="6"/>
  <c r="O71" i="6" s="1"/>
  <c r="N68" i="6"/>
  <c r="O68" i="6" s="1"/>
  <c r="N64" i="6"/>
  <c r="O64" i="6" s="1"/>
  <c r="N52" i="6"/>
  <c r="O52" i="6" s="1"/>
  <c r="N40" i="6"/>
  <c r="O40" i="6" s="1"/>
  <c r="N28" i="6"/>
  <c r="O28" i="6" s="1"/>
  <c r="N16" i="6"/>
  <c r="O16" i="6" s="1"/>
  <c r="N61" i="6"/>
  <c r="O61" i="6" s="1"/>
  <c r="N49" i="6"/>
  <c r="O49" i="6" s="1"/>
  <c r="N37" i="6"/>
  <c r="O37" i="6" s="1"/>
  <c r="N25" i="6"/>
  <c r="O25" i="6" s="1"/>
  <c r="N13" i="6"/>
  <c r="O13" i="6" s="1"/>
  <c r="N267" i="6"/>
  <c r="O267" i="6" s="1"/>
  <c r="N260" i="6"/>
  <c r="O260" i="6" s="1"/>
  <c r="N255" i="6"/>
  <c r="O255" i="6" s="1"/>
  <c r="N248" i="6"/>
  <c r="O248" i="6" s="1"/>
  <c r="N243" i="6"/>
  <c r="O243" i="6" s="1"/>
  <c r="N236" i="6"/>
  <c r="O236" i="6" s="1"/>
  <c r="N231" i="6"/>
  <c r="O231" i="6" s="1"/>
  <c r="N224" i="6"/>
  <c r="O224" i="6" s="1"/>
  <c r="N219" i="6"/>
  <c r="O219" i="6" s="1"/>
  <c r="N212" i="6"/>
  <c r="O212" i="6" s="1"/>
  <c r="N207" i="6"/>
  <c r="O207" i="6" s="1"/>
  <c r="N200" i="6"/>
  <c r="O200" i="6" s="1"/>
  <c r="N195" i="6"/>
  <c r="O195" i="6" s="1"/>
  <c r="N188" i="6"/>
  <c r="O188" i="6" s="1"/>
  <c r="N183" i="6"/>
  <c r="O183" i="6" s="1"/>
  <c r="N176" i="6"/>
  <c r="O176" i="6" s="1"/>
  <c r="N128" i="6"/>
  <c r="O128" i="6" s="1"/>
  <c r="N92" i="6"/>
  <c r="O92" i="6" s="1"/>
  <c r="N82" i="6"/>
  <c r="O82" i="6" s="1"/>
  <c r="N327" i="6"/>
  <c r="O327" i="6" s="1"/>
  <c r="N171" i="6"/>
  <c r="O171" i="6" s="1"/>
  <c r="N164" i="6"/>
  <c r="O164" i="6" s="1"/>
  <c r="N111" i="6"/>
  <c r="O111" i="6" s="1"/>
  <c r="N305" i="6"/>
  <c r="O305" i="6" s="1"/>
  <c r="N279" i="6"/>
  <c r="O279" i="6" s="1"/>
  <c r="N159" i="6"/>
  <c r="O159" i="6" s="1"/>
  <c r="N152" i="6"/>
  <c r="O152" i="6" s="1"/>
  <c r="N141" i="6"/>
  <c r="O141" i="6" s="1"/>
  <c r="N137" i="6"/>
  <c r="O137" i="6" s="1"/>
  <c r="N105" i="6"/>
  <c r="O105" i="6" s="1"/>
  <c r="N101" i="6"/>
  <c r="O101" i="6" s="1"/>
  <c r="N60" i="6"/>
  <c r="O60" i="6" s="1"/>
  <c r="N48" i="6"/>
  <c r="O48" i="6" s="1"/>
  <c r="N36" i="6"/>
  <c r="O36" i="6" s="1"/>
  <c r="N24" i="6"/>
  <c r="O24" i="6" s="1"/>
  <c r="N12" i="6"/>
  <c r="O12" i="6" s="1"/>
  <c r="N72" i="6"/>
  <c r="O72" i="6" s="1"/>
  <c r="N62" i="6"/>
  <c r="N50" i="6"/>
  <c r="O50" i="6" s="1"/>
  <c r="N38" i="6"/>
  <c r="O38" i="6" s="1"/>
  <c r="N26" i="6"/>
  <c r="O26" i="6" s="1"/>
  <c r="N14" i="6"/>
  <c r="O14" i="6" s="1"/>
  <c r="N291" i="6"/>
  <c r="O291" i="6" s="1"/>
  <c r="N90" i="6"/>
  <c r="O90" i="6" s="1"/>
  <c r="N75" i="6"/>
  <c r="O75" i="6" s="1"/>
  <c r="N42" i="6"/>
  <c r="O42" i="6" s="1"/>
  <c r="N35" i="6"/>
  <c r="O35" i="6" s="1"/>
  <c r="N15" i="6"/>
  <c r="O15" i="6" s="1"/>
  <c r="N54" i="6"/>
  <c r="O54" i="6" s="1"/>
  <c r="N21" i="6"/>
  <c r="N132" i="6"/>
  <c r="O132" i="6" s="1"/>
  <c r="N73" i="6"/>
  <c r="O73" i="6" s="1"/>
  <c r="N47" i="6"/>
  <c r="O47" i="6" s="1"/>
  <c r="N27" i="6"/>
  <c r="O27" i="6" s="1"/>
  <c r="N66" i="6"/>
  <c r="O66" i="6" s="1"/>
  <c r="N59" i="6"/>
  <c r="O59" i="6" s="1"/>
  <c r="N51" i="6"/>
  <c r="O51" i="6" s="1"/>
  <c r="N317" i="6"/>
  <c r="O317" i="6" s="1"/>
  <c r="N140" i="6"/>
  <c r="O140" i="6" s="1"/>
  <c r="N57" i="6"/>
  <c r="O57" i="6" s="1"/>
  <c r="N33" i="6"/>
  <c r="O33" i="6" s="1"/>
  <c r="N18" i="6"/>
  <c r="N11" i="6"/>
  <c r="O11" i="6" s="1"/>
  <c r="N126" i="6"/>
  <c r="O126" i="6" s="1"/>
  <c r="N104" i="6"/>
  <c r="O104" i="6" s="1"/>
  <c r="N63" i="6"/>
  <c r="O63" i="6" s="1"/>
  <c r="N147" i="6"/>
  <c r="O147" i="6" s="1"/>
  <c r="N114" i="6"/>
  <c r="O114" i="6" s="1"/>
  <c r="N23" i="6"/>
  <c r="O23" i="6" s="1"/>
  <c r="N39" i="6"/>
  <c r="O39" i="6" s="1"/>
  <c r="N30" i="6"/>
  <c r="O30" i="6" s="1"/>
  <c r="N76" i="6"/>
  <c r="O76" i="6" s="1"/>
  <c r="N45" i="6"/>
  <c r="O45" i="6" s="1"/>
  <c r="N96" i="6"/>
  <c r="O96" i="6" s="1"/>
  <c r="N284" i="4"/>
  <c r="O284" i="4" s="1"/>
  <c r="N106" i="4"/>
  <c r="O106" i="4" s="1"/>
  <c r="N28" i="4"/>
  <c r="O28" i="4" s="1"/>
  <c r="N283" i="4"/>
  <c r="O283" i="4" s="1"/>
  <c r="N41" i="4"/>
  <c r="O41" i="4" s="1"/>
  <c r="N121" i="4"/>
  <c r="O121" i="4" s="1"/>
  <c r="N65" i="4"/>
  <c r="O65" i="4" s="1"/>
  <c r="Q138" i="6"/>
  <c r="Q79" i="6"/>
  <c r="Q62" i="6"/>
  <c r="Q161" i="4"/>
  <c r="Q149" i="4"/>
  <c r="Q131" i="4"/>
  <c r="Q239" i="4"/>
  <c r="Q287" i="4"/>
  <c r="Q310" i="4"/>
  <c r="Q304" i="4"/>
  <c r="Q258" i="4"/>
  <c r="Q243" i="4"/>
  <c r="Q240" i="4"/>
  <c r="Q192" i="4"/>
  <c r="Q162" i="4"/>
  <c r="Q147" i="4"/>
  <c r="Q144" i="4"/>
  <c r="Q111" i="4"/>
  <c r="Q152" i="4"/>
  <c r="Q145" i="4"/>
  <c r="Q238" i="4"/>
  <c r="Q102" i="4"/>
  <c r="Q99" i="4"/>
  <c r="Q60" i="4"/>
  <c r="Q54" i="4"/>
  <c r="Q266" i="4"/>
  <c r="Q259" i="4"/>
  <c r="Q223" i="4"/>
  <c r="Q265" i="4"/>
  <c r="Q193" i="4"/>
  <c r="Q146" i="4"/>
  <c r="Q13" i="4"/>
  <c r="Q17" i="4"/>
  <c r="Q113" i="4"/>
  <c r="Q196" i="4"/>
  <c r="Q34" i="4"/>
  <c r="Q59" i="4"/>
  <c r="Q19" i="4"/>
  <c r="Q294" i="4"/>
  <c r="O135" i="5"/>
  <c r="O18" i="6"/>
  <c r="Q85" i="4"/>
  <c r="Q268" i="4"/>
  <c r="Q71" i="5"/>
  <c r="Q95" i="5"/>
  <c r="Q179" i="4"/>
  <c r="O182" i="5"/>
  <c r="O207" i="5"/>
  <c r="M12" i="5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M90" i="5" s="1"/>
  <c r="M91" i="5" s="1"/>
  <c r="M92" i="5" s="1"/>
  <c r="M93" i="5" s="1"/>
  <c r="M94" i="5" s="1"/>
  <c r="M95" i="5" s="1"/>
  <c r="M96" i="5" s="1"/>
  <c r="M97" i="5" s="1"/>
  <c r="M98" i="5" s="1"/>
  <c r="M99" i="5" s="1"/>
  <c r="M100" i="5" s="1"/>
  <c r="M101" i="5" s="1"/>
  <c r="M102" i="5" s="1"/>
  <c r="M103" i="5" s="1"/>
  <c r="M104" i="5" s="1"/>
  <c r="M105" i="5" s="1"/>
  <c r="M106" i="5" s="1"/>
  <c r="M107" i="5" s="1"/>
  <c r="M108" i="5" s="1"/>
  <c r="M109" i="5" s="1"/>
  <c r="M110" i="5" s="1"/>
  <c r="M111" i="5" s="1"/>
  <c r="M112" i="5" s="1"/>
  <c r="M113" i="5" s="1"/>
  <c r="M114" i="5" s="1"/>
  <c r="M115" i="5" s="1"/>
  <c r="M116" i="5" s="1"/>
  <c r="M117" i="5" s="1"/>
  <c r="M118" i="5" s="1"/>
  <c r="M119" i="5" s="1"/>
  <c r="M120" i="5" s="1"/>
  <c r="M121" i="5" s="1"/>
  <c r="M122" i="5" s="1"/>
  <c r="M123" i="5" s="1"/>
  <c r="M124" i="5" s="1"/>
  <c r="M125" i="5" s="1"/>
  <c r="M126" i="5" s="1"/>
  <c r="M127" i="5" s="1"/>
  <c r="M128" i="5" s="1"/>
  <c r="M129" i="5" s="1"/>
  <c r="M130" i="5" s="1"/>
  <c r="M131" i="5" s="1"/>
  <c r="M132" i="5" s="1"/>
  <c r="M133" i="5" s="1"/>
  <c r="M134" i="5" s="1"/>
  <c r="M135" i="5" s="1"/>
  <c r="M136" i="5" s="1"/>
  <c r="M137" i="5" s="1"/>
  <c r="M138" i="5" s="1"/>
  <c r="M139" i="5" s="1"/>
  <c r="M140" i="5" s="1"/>
  <c r="M141" i="5" s="1"/>
  <c r="M142" i="5" s="1"/>
  <c r="M143" i="5" s="1"/>
  <c r="M144" i="5" s="1"/>
  <c r="M145" i="5" s="1"/>
  <c r="M146" i="5" s="1"/>
  <c r="M147" i="5" s="1"/>
  <c r="M148" i="5" s="1"/>
  <c r="M149" i="5" s="1"/>
  <c r="M150" i="5" s="1"/>
  <c r="M151" i="5" s="1"/>
  <c r="M152" i="5" s="1"/>
  <c r="M153" i="5" s="1"/>
  <c r="M154" i="5" s="1"/>
  <c r="M155" i="5" s="1"/>
  <c r="M156" i="5" s="1"/>
  <c r="M157" i="5" s="1"/>
  <c r="M158" i="5" s="1"/>
  <c r="M159" i="5" s="1"/>
  <c r="M160" i="5" s="1"/>
  <c r="M161" i="5" s="1"/>
  <c r="M162" i="5" s="1"/>
  <c r="M163" i="5" s="1"/>
  <c r="M164" i="5" s="1"/>
  <c r="M165" i="5" s="1"/>
  <c r="M166" i="5" s="1"/>
  <c r="M167" i="5" s="1"/>
  <c r="M168" i="5" s="1"/>
  <c r="M169" i="5" s="1"/>
  <c r="M170" i="5" s="1"/>
  <c r="M171" i="5" s="1"/>
  <c r="M172" i="5" s="1"/>
  <c r="M173" i="5" s="1"/>
  <c r="M174" i="5" s="1"/>
  <c r="M175" i="5" s="1"/>
  <c r="M176" i="5" s="1"/>
  <c r="M177" i="5" s="1"/>
  <c r="M178" i="5" s="1"/>
  <c r="M179" i="5" s="1"/>
  <c r="M180" i="5" s="1"/>
  <c r="M181" i="5" s="1"/>
  <c r="M182" i="5" s="1"/>
  <c r="M183" i="5" s="1"/>
  <c r="M184" i="5" s="1"/>
  <c r="M185" i="5" s="1"/>
  <c r="M186" i="5" s="1"/>
  <c r="M187" i="5" s="1"/>
  <c r="M188" i="5" s="1"/>
  <c r="M189" i="5" s="1"/>
  <c r="M190" i="5" s="1"/>
  <c r="M191" i="5" s="1"/>
  <c r="M192" i="5" s="1"/>
  <c r="M193" i="5" s="1"/>
  <c r="M194" i="5" s="1"/>
  <c r="M195" i="5" s="1"/>
  <c r="M196" i="5" s="1"/>
  <c r="M197" i="5" s="1"/>
  <c r="M198" i="5" s="1"/>
  <c r="M199" i="5" s="1"/>
  <c r="M200" i="5" s="1"/>
  <c r="M201" i="5" s="1"/>
  <c r="M202" i="5" s="1"/>
  <c r="M203" i="5" s="1"/>
  <c r="M204" i="5" s="1"/>
  <c r="M205" i="5" s="1"/>
  <c r="M206" i="5" s="1"/>
  <c r="M207" i="5" s="1"/>
  <c r="M208" i="5" s="1"/>
  <c r="M209" i="5" s="1"/>
  <c r="M210" i="5" s="1"/>
  <c r="M211" i="5" s="1"/>
  <c r="M212" i="5" s="1"/>
  <c r="M213" i="5" s="1"/>
  <c r="M214" i="5" s="1"/>
  <c r="M215" i="5" s="1"/>
  <c r="M216" i="5" s="1"/>
  <c r="M217" i="5" s="1"/>
  <c r="M218" i="5" s="1"/>
  <c r="M219" i="5" s="1"/>
  <c r="M220" i="5" s="1"/>
  <c r="M221" i="5" s="1"/>
  <c r="M222" i="5" s="1"/>
  <c r="M223" i="5" s="1"/>
  <c r="M224" i="5" s="1"/>
  <c r="M225" i="5" s="1"/>
  <c r="M226" i="5" s="1"/>
  <c r="M227" i="5" s="1"/>
  <c r="M228" i="5" s="1"/>
  <c r="M229" i="5" s="1"/>
  <c r="M230" i="5" s="1"/>
  <c r="M231" i="5" s="1"/>
  <c r="M232" i="5" s="1"/>
  <c r="M233" i="5" s="1"/>
  <c r="M234" i="5" s="1"/>
  <c r="M235" i="5" s="1"/>
  <c r="M236" i="5" s="1"/>
  <c r="M237" i="5" s="1"/>
  <c r="M238" i="5" s="1"/>
  <c r="M239" i="5" s="1"/>
  <c r="M240" i="5" s="1"/>
  <c r="M241" i="5" s="1"/>
  <c r="M242" i="5" s="1"/>
  <c r="M243" i="5" s="1"/>
  <c r="M244" i="5" s="1"/>
  <c r="M245" i="5" s="1"/>
  <c r="M246" i="5" s="1"/>
  <c r="M247" i="5" s="1"/>
  <c r="M248" i="5" s="1"/>
  <c r="M249" i="5" s="1"/>
  <c r="M250" i="5" s="1"/>
  <c r="M251" i="5" s="1"/>
  <c r="M252" i="5" s="1"/>
  <c r="M253" i="5" s="1"/>
  <c r="M254" i="5" s="1"/>
  <c r="M255" i="5" s="1"/>
  <c r="M256" i="5" s="1"/>
  <c r="M257" i="5" s="1"/>
  <c r="M258" i="5" s="1"/>
  <c r="M259" i="5" s="1"/>
  <c r="M260" i="5" s="1"/>
  <c r="M261" i="5" s="1"/>
  <c r="M262" i="5" s="1"/>
  <c r="M263" i="5" s="1"/>
  <c r="M264" i="5" s="1"/>
  <c r="M265" i="5" s="1"/>
  <c r="M266" i="5" s="1"/>
  <c r="M267" i="5" s="1"/>
  <c r="M268" i="5" s="1"/>
  <c r="M269" i="5" s="1"/>
  <c r="M270" i="5" s="1"/>
  <c r="M271" i="5" s="1"/>
  <c r="M272" i="5" s="1"/>
  <c r="M273" i="5" s="1"/>
  <c r="M274" i="5" s="1"/>
  <c r="M275" i="5" s="1"/>
  <c r="M276" i="5" s="1"/>
  <c r="M277" i="5" s="1"/>
  <c r="M278" i="5" s="1"/>
  <c r="M279" i="5" s="1"/>
  <c r="M280" i="5" s="1"/>
  <c r="M281" i="5" s="1"/>
  <c r="M282" i="5" s="1"/>
  <c r="M283" i="5" s="1"/>
  <c r="M284" i="5" s="1"/>
  <c r="M285" i="5" s="1"/>
  <c r="M286" i="5" s="1"/>
  <c r="M287" i="5" s="1"/>
  <c r="M288" i="5" s="1"/>
  <c r="M289" i="5" s="1"/>
  <c r="M290" i="5" s="1"/>
  <c r="M291" i="5" s="1"/>
  <c r="M292" i="5" s="1"/>
  <c r="M293" i="5" s="1"/>
  <c r="M294" i="5" s="1"/>
  <c r="M295" i="5" s="1"/>
  <c r="M296" i="5" s="1"/>
  <c r="M297" i="5" s="1"/>
  <c r="M298" i="5" s="1"/>
  <c r="M299" i="5" s="1"/>
  <c r="M300" i="5" s="1"/>
  <c r="M301" i="5" s="1"/>
  <c r="M302" i="5" s="1"/>
  <c r="M303" i="5" s="1"/>
  <c r="M304" i="5" s="1"/>
  <c r="M305" i="5" s="1"/>
  <c r="M306" i="5" s="1"/>
  <c r="M307" i="5" s="1"/>
  <c r="M308" i="5" s="1"/>
  <c r="M309" i="5" s="1"/>
  <c r="M310" i="5" s="1"/>
  <c r="M311" i="5" s="1"/>
  <c r="M312" i="5" s="1"/>
  <c r="M313" i="5" s="1"/>
  <c r="M314" i="5" s="1"/>
  <c r="M315" i="5" s="1"/>
  <c r="M316" i="5" s="1"/>
  <c r="M317" i="5" s="1"/>
  <c r="M318" i="5" s="1"/>
  <c r="M319" i="5" s="1"/>
  <c r="M320" i="5" s="1"/>
  <c r="M321" i="5" s="1"/>
  <c r="M322" i="5" s="1"/>
  <c r="M323" i="5" s="1"/>
  <c r="M324" i="5" s="1"/>
  <c r="M325" i="5" s="1"/>
  <c r="M326" i="5" s="1"/>
  <c r="M327" i="5" s="1"/>
  <c r="M328" i="5" s="1"/>
  <c r="M329" i="5" s="1"/>
  <c r="M330" i="5" s="1"/>
  <c r="M331" i="5" s="1"/>
  <c r="O11" i="5"/>
  <c r="O35" i="5"/>
  <c r="O69" i="5"/>
  <c r="O142" i="5"/>
  <c r="O27" i="5"/>
  <c r="O192" i="5"/>
  <c r="O132" i="5"/>
  <c r="O204" i="5"/>
  <c r="O214" i="5"/>
  <c r="O74" i="5"/>
  <c r="O102" i="5"/>
  <c r="O80" i="5"/>
  <c r="O165" i="5"/>
  <c r="O194" i="5"/>
  <c r="O308" i="5"/>
  <c r="O320" i="5"/>
  <c r="O63" i="5"/>
  <c r="O141" i="5"/>
  <c r="O150" i="5"/>
  <c r="O222" i="5"/>
  <c r="O260" i="5"/>
  <c r="O126" i="5"/>
  <c r="O198" i="5"/>
  <c r="O248" i="5"/>
  <c r="O258" i="5"/>
  <c r="O280" i="5"/>
  <c r="O312" i="5"/>
  <c r="O113" i="5"/>
  <c r="O174" i="5"/>
  <c r="O246" i="5"/>
  <c r="O21" i="6"/>
  <c r="O62" i="6"/>
  <c r="O238" i="6"/>
  <c r="O113" i="6"/>
  <c r="O275" i="6"/>
  <c r="O328" i="5"/>
  <c r="O179" i="6"/>
  <c r="O227" i="6"/>
  <c r="O249" i="6"/>
  <c r="O131" i="6"/>
  <c r="O110" i="6"/>
  <c r="O270" i="6"/>
  <c r="Q195" i="5" l="1"/>
  <c r="Q321" i="5"/>
  <c r="Q262" i="4"/>
  <c r="Q79" i="4"/>
  <c r="Q139" i="4"/>
  <c r="Q227" i="4"/>
  <c r="Q255" i="4"/>
  <c r="Q181" i="6"/>
  <c r="Q172" i="5"/>
  <c r="Q58" i="5"/>
  <c r="Q103" i="5"/>
  <c r="Q56" i="4"/>
  <c r="Q230" i="4"/>
  <c r="Q114" i="4"/>
  <c r="Q290" i="4"/>
  <c r="N87" i="4"/>
  <c r="O87" i="4" s="1"/>
  <c r="Q249" i="5"/>
  <c r="Q292" i="5"/>
  <c r="N331" i="4"/>
  <c r="O331" i="4" s="1"/>
  <c r="N157" i="4"/>
  <c r="O157" i="4" s="1"/>
  <c r="Q162" i="5"/>
  <c r="Q96" i="5"/>
  <c r="Q193" i="5"/>
  <c r="Q97" i="4"/>
  <c r="Q55" i="4"/>
  <c r="Q233" i="4"/>
  <c r="Q151" i="4"/>
  <c r="Q90" i="4"/>
  <c r="Q288" i="4"/>
  <c r="Q216" i="4"/>
  <c r="Q278" i="4"/>
  <c r="Q47" i="4"/>
  <c r="N247" i="4"/>
  <c r="O247" i="4" s="1"/>
  <c r="N273" i="4"/>
  <c r="O273" i="4" s="1"/>
  <c r="N267" i="4"/>
  <c r="O267" i="4" s="1"/>
  <c r="Q97" i="5"/>
  <c r="Q242" i="5"/>
  <c r="N36" i="4"/>
  <c r="O36" i="4" s="1"/>
  <c r="Q215" i="5"/>
  <c r="N158" i="4"/>
  <c r="O158" i="4" s="1"/>
  <c r="N55" i="4"/>
  <c r="O55" i="4" s="1"/>
  <c r="Q236" i="5"/>
  <c r="Q286" i="5"/>
  <c r="Q247" i="5"/>
  <c r="Q104" i="4"/>
  <c r="Q89" i="4"/>
  <c r="Q232" i="4"/>
  <c r="Q241" i="4"/>
  <c r="Q184" i="4"/>
  <c r="Q120" i="4"/>
  <c r="Q246" i="4"/>
  <c r="Q320" i="4"/>
  <c r="Q85" i="6"/>
  <c r="N74" i="4"/>
  <c r="O74" i="4" s="1"/>
  <c r="N63" i="4"/>
  <c r="O63" i="4" s="1"/>
  <c r="N79" i="4"/>
  <c r="O79" i="4" s="1"/>
  <c r="Q276" i="5"/>
  <c r="N200" i="4"/>
  <c r="O200" i="4" s="1"/>
  <c r="N156" i="4"/>
  <c r="O156" i="4" s="1"/>
  <c r="Q196" i="5"/>
  <c r="Q49" i="5"/>
  <c r="Q311" i="5"/>
  <c r="Q40" i="4"/>
  <c r="Q23" i="4"/>
  <c r="Q157" i="4"/>
  <c r="Q36" i="4"/>
  <c r="Q256" i="4"/>
  <c r="Q150" i="4"/>
  <c r="Q286" i="4"/>
  <c r="Q106" i="4"/>
  <c r="Q309" i="6"/>
  <c r="N35" i="4"/>
  <c r="O35" i="4" s="1"/>
  <c r="N173" i="4"/>
  <c r="O173" i="4" s="1"/>
  <c r="N203" i="4"/>
  <c r="O203" i="4" s="1"/>
  <c r="Q56" i="5"/>
  <c r="Q66" i="5"/>
  <c r="Q267" i="5"/>
  <c r="N119" i="4"/>
  <c r="O119" i="4" s="1"/>
  <c r="Q218" i="5"/>
  <c r="Q53" i="5"/>
  <c r="Q313" i="5"/>
  <c r="Q14" i="4"/>
  <c r="Q221" i="4"/>
  <c r="Q182" i="4"/>
  <c r="Q51" i="4"/>
  <c r="Q134" i="4"/>
  <c r="Q159" i="4"/>
  <c r="Q301" i="4"/>
  <c r="Q43" i="4"/>
  <c r="Q326" i="6"/>
  <c r="N56" i="4"/>
  <c r="O56" i="4" s="1"/>
  <c r="N220" i="4"/>
  <c r="O220" i="4" s="1"/>
  <c r="N257" i="4"/>
  <c r="O257" i="4" s="1"/>
  <c r="R169" i="6"/>
  <c r="Q222" i="5"/>
  <c r="Q129" i="5"/>
  <c r="N125" i="4"/>
  <c r="O125" i="4" s="1"/>
  <c r="N109" i="4"/>
  <c r="O109" i="4" s="1"/>
  <c r="N316" i="4"/>
  <c r="O316" i="4" s="1"/>
  <c r="Q154" i="4"/>
  <c r="Q252" i="5"/>
  <c r="Q143" i="5"/>
  <c r="Q185" i="4"/>
  <c r="Q273" i="4"/>
  <c r="Q269" i="4"/>
  <c r="Q133" i="4"/>
  <c r="Q84" i="4"/>
  <c r="Q181" i="4"/>
  <c r="Q207" i="4"/>
  <c r="Q272" i="4"/>
  <c r="Q11" i="4"/>
  <c r="N176" i="4"/>
  <c r="O176" i="4" s="1"/>
  <c r="N172" i="4"/>
  <c r="O172" i="4" s="1"/>
  <c r="N163" i="4"/>
  <c r="O163" i="4" s="1"/>
  <c r="N309" i="4"/>
  <c r="O309" i="4" s="1"/>
  <c r="Q35" i="4"/>
  <c r="Q29" i="5"/>
  <c r="Q151" i="5"/>
  <c r="Q160" i="4"/>
  <c r="Q203" i="4"/>
  <c r="Q98" i="4"/>
  <c r="Q140" i="4"/>
  <c r="Q87" i="4"/>
  <c r="Q188" i="4"/>
  <c r="Q210" i="4"/>
  <c r="Q275" i="4"/>
  <c r="Q330" i="4"/>
  <c r="N212" i="4"/>
  <c r="O212" i="4" s="1"/>
  <c r="N226" i="4"/>
  <c r="O226" i="4" s="1"/>
  <c r="N213" i="4"/>
  <c r="O213" i="4" s="1"/>
  <c r="Q86" i="4"/>
  <c r="Q200" i="4"/>
  <c r="Q12" i="4"/>
  <c r="Q112" i="4"/>
  <c r="Q206" i="4"/>
  <c r="Q168" i="4"/>
  <c r="Q264" i="4"/>
  <c r="Q296" i="4"/>
  <c r="Q291" i="4"/>
  <c r="Q77" i="4"/>
  <c r="Q208" i="4"/>
  <c r="Q327" i="4"/>
  <c r="Q39" i="4"/>
  <c r="Q191" i="4"/>
  <c r="Q300" i="4"/>
  <c r="Q195" i="4"/>
  <c r="Q289" i="4"/>
  <c r="Q323" i="4"/>
  <c r="Q22" i="4"/>
  <c r="Q172" i="4"/>
  <c r="Q71" i="4"/>
  <c r="Q125" i="4"/>
  <c r="Q115" i="4"/>
  <c r="Q42" i="4"/>
  <c r="Q202" i="4"/>
  <c r="Q312" i="4"/>
  <c r="Q198" i="4"/>
  <c r="Q292" i="4"/>
  <c r="Q326" i="4"/>
  <c r="Q16" i="4"/>
  <c r="Q314" i="5"/>
  <c r="Q118" i="5"/>
  <c r="Q228" i="5"/>
  <c r="Q13" i="5"/>
  <c r="Q200" i="5"/>
  <c r="Q318" i="5"/>
  <c r="Q55" i="5"/>
  <c r="Q145" i="5"/>
  <c r="Q199" i="5"/>
  <c r="Q263" i="5"/>
  <c r="Q315" i="5"/>
  <c r="Q94" i="5"/>
  <c r="Q256" i="5"/>
  <c r="Q238" i="5"/>
  <c r="Q15" i="5"/>
  <c r="Q210" i="5"/>
  <c r="Q42" i="5"/>
  <c r="Q69" i="5"/>
  <c r="Q147" i="5"/>
  <c r="Q201" i="5"/>
  <c r="Q265" i="5"/>
  <c r="Q204" i="6"/>
  <c r="R311" i="6"/>
  <c r="R128" i="6"/>
  <c r="R278" i="6"/>
  <c r="R127" i="6"/>
  <c r="R216" i="6"/>
  <c r="R58" i="6"/>
  <c r="R48" i="6"/>
  <c r="R108" i="6"/>
  <c r="R285" i="6"/>
  <c r="Q206" i="5"/>
  <c r="Q30" i="5"/>
  <c r="Q24" i="5"/>
  <c r="Q86" i="5"/>
  <c r="Q22" i="5"/>
  <c r="Q309" i="5"/>
  <c r="Q285" i="5"/>
  <c r="Q261" i="5"/>
  <c r="Q237" i="5"/>
  <c r="Q213" i="5"/>
  <c r="Q189" i="5"/>
  <c r="Q165" i="5"/>
  <c r="Q141" i="5"/>
  <c r="Q91" i="5"/>
  <c r="Q67" i="5"/>
  <c r="Q43" i="5"/>
  <c r="Q298" i="5"/>
  <c r="Q266" i="5"/>
  <c r="Q101" i="5"/>
  <c r="Q190" i="5"/>
  <c r="Q294" i="5"/>
  <c r="Q27" i="5"/>
  <c r="Q202" i="5"/>
  <c r="Q262" i="5"/>
  <c r="Q186" i="5"/>
  <c r="Q18" i="5"/>
  <c r="Q302" i="5"/>
  <c r="Q156" i="5"/>
  <c r="Q278" i="5"/>
  <c r="Q28" i="5"/>
  <c r="Q220" i="5"/>
  <c r="Q166" i="5"/>
  <c r="Q204" i="5"/>
  <c r="Q307" i="5"/>
  <c r="Q283" i="5"/>
  <c r="Q259" i="5"/>
  <c r="Q235" i="5"/>
  <c r="Q211" i="5"/>
  <c r="Q187" i="5"/>
  <c r="Q163" i="5"/>
  <c r="Q139" i="5"/>
  <c r="Q89" i="5"/>
  <c r="Q65" i="5"/>
  <c r="Q41" i="5"/>
  <c r="Q208" i="5"/>
  <c r="Q248" i="5"/>
  <c r="Q92" i="5"/>
  <c r="Q180" i="5"/>
  <c r="Q268" i="5"/>
  <c r="Q25" i="5"/>
  <c r="Q192" i="5"/>
  <c r="Q184" i="5"/>
  <c r="Q176" i="5"/>
  <c r="Q322" i="5"/>
  <c r="Q234" i="5"/>
  <c r="Q144" i="5"/>
  <c r="Q100" i="5"/>
  <c r="Q112" i="5"/>
  <c r="Q74" i="5"/>
  <c r="Q46" i="5"/>
  <c r="Q282" i="5"/>
  <c r="Q305" i="5"/>
  <c r="Q281" i="5"/>
  <c r="Q257" i="5"/>
  <c r="Q233" i="5"/>
  <c r="Q209" i="5"/>
  <c r="Q185" i="5"/>
  <c r="Q161" i="5"/>
  <c r="Q137" i="5"/>
  <c r="Q87" i="5"/>
  <c r="Q63" i="5"/>
  <c r="Q39" i="5"/>
  <c r="Q136" i="5"/>
  <c r="Q240" i="5"/>
  <c r="Q68" i="5"/>
  <c r="Q170" i="5"/>
  <c r="Q232" i="5"/>
  <c r="Q23" i="5"/>
  <c r="Q182" i="5"/>
  <c r="Q120" i="5"/>
  <c r="Q122" i="5"/>
  <c r="Q316" i="5"/>
  <c r="Q224" i="5"/>
  <c r="Q134" i="5"/>
  <c r="Q78" i="5"/>
  <c r="Q109" i="5"/>
  <c r="Q124" i="5"/>
  <c r="Q16" i="5"/>
  <c r="Q330" i="5"/>
  <c r="Q303" i="5"/>
  <c r="Q279" i="5"/>
  <c r="Q255" i="5"/>
  <c r="Q231" i="5"/>
  <c r="Q207" i="5"/>
  <c r="Q183" i="5"/>
  <c r="Q159" i="5"/>
  <c r="Q135" i="5"/>
  <c r="Q85" i="5"/>
  <c r="Q61" i="5"/>
  <c r="Q331" i="5"/>
  <c r="Q108" i="5"/>
  <c r="Q230" i="5"/>
  <c r="Q44" i="5"/>
  <c r="Q138" i="5"/>
  <c r="Q160" i="5"/>
  <c r="Q21" i="5"/>
  <c r="Q150" i="5"/>
  <c r="Q111" i="5"/>
  <c r="Q54" i="5"/>
  <c r="Q310" i="5"/>
  <c r="Q154" i="5"/>
  <c r="Q125" i="5"/>
  <c r="Q14" i="5"/>
  <c r="Q80" i="5"/>
  <c r="Q106" i="5"/>
  <c r="Q325" i="5"/>
  <c r="Q301" i="5"/>
  <c r="Q277" i="5"/>
  <c r="Q253" i="5"/>
  <c r="Q229" i="5"/>
  <c r="Q205" i="5"/>
  <c r="Q181" i="5"/>
  <c r="Q157" i="5"/>
  <c r="Q133" i="5"/>
  <c r="Q83" i="5"/>
  <c r="Q59" i="5"/>
  <c r="Q320" i="5"/>
  <c r="Q99" i="5"/>
  <c r="Q198" i="5"/>
  <c r="Q258" i="5"/>
  <c r="Q128" i="5"/>
  <c r="Q114" i="5"/>
  <c r="Q19" i="5"/>
  <c r="Q140" i="5"/>
  <c r="Q102" i="5"/>
  <c r="Q254" i="5"/>
  <c r="Q164" i="5"/>
  <c r="Q148" i="5"/>
  <c r="Q60" i="5"/>
  <c r="Q308" i="5"/>
  <c r="Q64" i="5"/>
  <c r="Q323" i="5"/>
  <c r="Q299" i="5"/>
  <c r="Q275" i="5"/>
  <c r="Q251" i="5"/>
  <c r="Q227" i="5"/>
  <c r="Q203" i="5"/>
  <c r="Q179" i="5"/>
  <c r="Q155" i="5"/>
  <c r="Q131" i="5"/>
  <c r="Q81" i="5"/>
  <c r="Q57" i="5"/>
  <c r="Q312" i="5"/>
  <c r="Q90" i="5"/>
  <c r="Q188" i="5"/>
  <c r="Q121" i="5"/>
  <c r="Q17" i="5"/>
  <c r="Q130" i="5"/>
  <c r="Q93" i="5"/>
  <c r="Q119" i="5"/>
  <c r="Q142" i="5"/>
  <c r="Q38" i="5"/>
  <c r="Q36" i="5"/>
  <c r="Q12" i="5"/>
  <c r="Q214" i="5"/>
  <c r="Q317" i="5"/>
  <c r="Q293" i="5"/>
  <c r="Q269" i="5"/>
  <c r="Q245" i="5"/>
  <c r="Q221" i="5"/>
  <c r="Q197" i="5"/>
  <c r="Q173" i="5"/>
  <c r="Q149" i="5"/>
  <c r="Q329" i="5"/>
  <c r="Q75" i="5"/>
  <c r="Q51" i="5"/>
  <c r="Q288" i="5"/>
  <c r="Q324" i="5"/>
  <c r="Q158" i="5"/>
  <c r="Q250" i="5"/>
  <c r="Q72" i="5"/>
  <c r="Q35" i="5"/>
  <c r="Q11" i="5"/>
  <c r="Q98" i="5"/>
  <c r="Q327" i="5"/>
  <c r="Q146" i="5"/>
  <c r="Q244" i="5"/>
  <c r="Q246" i="5"/>
  <c r="Q88" i="5"/>
  <c r="Q40" i="5"/>
  <c r="Q84" i="5"/>
  <c r="Q70" i="5"/>
  <c r="Q284" i="5"/>
  <c r="Q153" i="5"/>
  <c r="Q153" i="6"/>
  <c r="Q279" i="6"/>
  <c r="Q137" i="6"/>
  <c r="Q32" i="6"/>
  <c r="Q304" i="6"/>
  <c r="Q183" i="6"/>
  <c r="Q308" i="6"/>
  <c r="Q35" i="6"/>
  <c r="Q256" i="6"/>
  <c r="Q123" i="6"/>
  <c r="Q134" i="6"/>
  <c r="Q168" i="6"/>
  <c r="Q148" i="6"/>
  <c r="Q110" i="6"/>
  <c r="Q262" i="6"/>
  <c r="Q175" i="6"/>
  <c r="Q100" i="6"/>
  <c r="Q24" i="6"/>
  <c r="Q214" i="6"/>
  <c r="Q247" i="6"/>
  <c r="Q294" i="6"/>
  <c r="Q55" i="6"/>
  <c r="Q37" i="6"/>
  <c r="Q50" i="6"/>
  <c r="Q246" i="6"/>
  <c r="Q127" i="6"/>
  <c r="Q278" i="6"/>
  <c r="Q90" i="6"/>
  <c r="Q185" i="6"/>
  <c r="Q142" i="6"/>
  <c r="Q38" i="6"/>
  <c r="Q170" i="6"/>
  <c r="Q241" i="6"/>
  <c r="Q33" i="6"/>
  <c r="Q51" i="6"/>
  <c r="Q290" i="5"/>
  <c r="Q107" i="5"/>
  <c r="Q270" i="5"/>
  <c r="Q33" i="5"/>
  <c r="Q306" i="5"/>
  <c r="Q272" i="5"/>
  <c r="Q77" i="5"/>
  <c r="Q167" i="5"/>
  <c r="Q219" i="5"/>
  <c r="Q273" i="5"/>
  <c r="Q18" i="6"/>
  <c r="Q82" i="5"/>
  <c r="Q274" i="5"/>
  <c r="Q73" i="5"/>
  <c r="Q216" i="5"/>
  <c r="Q260" i="5"/>
  <c r="Q169" i="5"/>
  <c r="Q22" i="6"/>
  <c r="Q264" i="5"/>
  <c r="Q26" i="5"/>
  <c r="Q76" i="5"/>
  <c r="Q50" i="5"/>
  <c r="Q117" i="5"/>
  <c r="Q296" i="5"/>
  <c r="Q104" i="5"/>
  <c r="Q171" i="5"/>
  <c r="Q225" i="5"/>
  <c r="Q289" i="5"/>
  <c r="Q287" i="6"/>
  <c r="Q217" i="5"/>
  <c r="Q116" i="5"/>
  <c r="Q37" i="5"/>
  <c r="Q110" i="5"/>
  <c r="Q280" i="5"/>
  <c r="Q223" i="5"/>
  <c r="Q32" i="5"/>
  <c r="Q105" i="5"/>
  <c r="Q126" i="5"/>
  <c r="Q115" i="5"/>
  <c r="Q175" i="5"/>
  <c r="Q291" i="5"/>
  <c r="Q188" i="6"/>
  <c r="Q31" i="5"/>
  <c r="Q20" i="5"/>
  <c r="Q287" i="5"/>
  <c r="Q34" i="5"/>
  <c r="Q300" i="5"/>
  <c r="Q304" i="5"/>
  <c r="Q239" i="5"/>
  <c r="Q194" i="5"/>
  <c r="Q62" i="5"/>
  <c r="Q123" i="5"/>
  <c r="Q326" i="5"/>
  <c r="Q168" i="5"/>
  <c r="Q45" i="5"/>
  <c r="Q328" i="5"/>
  <c r="Q177" i="5"/>
  <c r="Q241" i="5"/>
  <c r="Q295" i="5"/>
  <c r="Q296" i="6"/>
  <c r="Q113" i="5"/>
  <c r="Q271" i="5"/>
  <c r="Q52" i="5"/>
  <c r="Q79" i="5"/>
  <c r="Q174" i="5"/>
  <c r="Q226" i="5"/>
  <c r="Q152" i="5"/>
  <c r="Q212" i="5"/>
  <c r="Q48" i="5"/>
  <c r="Q178" i="5"/>
  <c r="Q47" i="5"/>
  <c r="Q127" i="5"/>
  <c r="Q191" i="5"/>
  <c r="Q243" i="5"/>
  <c r="Q297" i="5"/>
  <c r="Q233" i="6"/>
  <c r="Q46" i="4"/>
  <c r="Q103" i="4"/>
  <c r="Q197" i="4"/>
  <c r="Q178" i="4"/>
  <c r="Q65" i="4"/>
  <c r="Q49" i="4"/>
  <c r="Q28" i="4"/>
  <c r="Q175" i="4"/>
  <c r="Q122" i="4"/>
  <c r="Q248" i="4"/>
  <c r="Q48" i="4"/>
  <c r="Q96" i="4"/>
  <c r="Q220" i="4"/>
  <c r="Q170" i="4"/>
  <c r="Q108" i="4"/>
  <c r="Q156" i="4"/>
  <c r="Q204" i="4"/>
  <c r="Q252" i="4"/>
  <c r="Q298" i="4"/>
  <c r="Q284" i="4"/>
  <c r="Q92" i="4"/>
  <c r="Q73" i="4"/>
  <c r="Q26" i="4"/>
  <c r="Q250" i="4"/>
  <c r="Q80" i="4"/>
  <c r="Q37" i="4"/>
  <c r="Q211" i="4"/>
  <c r="Q158" i="4"/>
  <c r="Q15" i="4"/>
  <c r="Q63" i="4"/>
  <c r="Q119" i="4"/>
  <c r="Q263" i="4"/>
  <c r="Q217" i="4"/>
  <c r="Q123" i="4"/>
  <c r="Q171" i="4"/>
  <c r="Q219" i="4"/>
  <c r="Q267" i="4"/>
  <c r="Q313" i="4"/>
  <c r="Q299" i="4"/>
  <c r="Q94" i="4"/>
  <c r="Q251" i="4"/>
  <c r="Q67" i="4"/>
  <c r="Q74" i="4"/>
  <c r="Q215" i="4"/>
  <c r="Q31" i="4"/>
  <c r="Q62" i="4"/>
  <c r="Q306" i="4"/>
  <c r="Q218" i="4"/>
  <c r="Q176" i="4"/>
  <c r="Q18" i="4"/>
  <c r="Q66" i="4"/>
  <c r="Q130" i="4"/>
  <c r="Q318" i="4"/>
  <c r="Q224" i="4"/>
  <c r="Q126" i="4"/>
  <c r="Q174" i="4"/>
  <c r="Q222" i="4"/>
  <c r="Q270" i="4"/>
  <c r="Q316" i="4"/>
  <c r="Q302" i="4"/>
  <c r="Q88" i="4"/>
  <c r="Q226" i="4"/>
  <c r="Q276" i="4"/>
  <c r="Q61" i="4"/>
  <c r="Q190" i="4"/>
  <c r="Q20" i="4"/>
  <c r="Q41" i="4"/>
  <c r="Q244" i="4"/>
  <c r="Q229" i="4"/>
  <c r="Q187" i="4"/>
  <c r="Q24" i="4"/>
  <c r="Q72" i="4"/>
  <c r="Q148" i="4"/>
  <c r="Q303" i="4"/>
  <c r="Q242" i="4"/>
  <c r="Q132" i="4"/>
  <c r="Q180" i="4"/>
  <c r="Q228" i="4"/>
  <c r="Q274" i="4"/>
  <c r="Q322" i="4"/>
  <c r="Q308" i="4"/>
  <c r="Q82" i="4"/>
  <c r="Q143" i="4"/>
  <c r="Q142" i="4"/>
  <c r="Q50" i="4"/>
  <c r="Q101" i="4"/>
  <c r="Q167" i="4"/>
  <c r="Q110" i="4"/>
  <c r="Q247" i="4"/>
  <c r="Q194" i="4"/>
  <c r="Q27" i="4"/>
  <c r="Q75" i="4"/>
  <c r="Q155" i="4"/>
  <c r="Q109" i="4"/>
  <c r="Q253" i="4"/>
  <c r="Q135" i="4"/>
  <c r="Q183" i="4"/>
  <c r="Q231" i="4"/>
  <c r="Q277" i="4"/>
  <c r="Q325" i="4"/>
  <c r="Q311" i="4"/>
  <c r="Q70" i="4"/>
  <c r="Q118" i="4"/>
  <c r="Q282" i="4"/>
  <c r="Q25" i="4"/>
  <c r="Q95" i="4"/>
  <c r="Q121" i="4"/>
  <c r="Q254" i="4"/>
  <c r="Q212" i="4"/>
  <c r="Q30" i="4"/>
  <c r="Q78" i="4"/>
  <c r="Q166" i="4"/>
  <c r="Q116" i="4"/>
  <c r="Q260" i="4"/>
  <c r="Q138" i="4"/>
  <c r="Q186" i="4"/>
  <c r="Q234" i="4"/>
  <c r="Q280" i="4"/>
  <c r="Q328" i="4"/>
  <c r="Q314" i="4"/>
  <c r="Q64" i="4"/>
  <c r="Q58" i="4"/>
  <c r="N189" i="4"/>
  <c r="O189" i="4" s="1"/>
  <c r="N259" i="4"/>
  <c r="O259" i="4" s="1"/>
  <c r="N171" i="4"/>
  <c r="O171" i="4" s="1"/>
  <c r="N133" i="4"/>
  <c r="O133" i="4" s="1"/>
  <c r="N115" i="4"/>
  <c r="O115" i="4" s="1"/>
  <c r="N110" i="4"/>
  <c r="O110" i="4" s="1"/>
  <c r="N179" i="4"/>
  <c r="O179" i="4" s="1"/>
  <c r="N277" i="4"/>
  <c r="O277" i="4" s="1"/>
  <c r="N39" i="4"/>
  <c r="O39" i="4" s="1"/>
  <c r="N90" i="4"/>
  <c r="O90" i="4" s="1"/>
  <c r="N180" i="4"/>
  <c r="O180" i="4" s="1"/>
  <c r="N292" i="4"/>
  <c r="O292" i="4" s="1"/>
  <c r="N170" i="4"/>
  <c r="O170" i="4" s="1"/>
  <c r="N271" i="4"/>
  <c r="O271" i="4" s="1"/>
  <c r="N58" i="4"/>
  <c r="O58" i="4" s="1"/>
  <c r="N289" i="4"/>
  <c r="O289" i="4" s="1"/>
  <c r="N214" i="4"/>
  <c r="O214" i="4" s="1"/>
  <c r="N288" i="4"/>
  <c r="O288" i="4" s="1"/>
  <c r="N317" i="4"/>
  <c r="O317" i="4" s="1"/>
  <c r="N201" i="4"/>
  <c r="O201" i="4" s="1"/>
  <c r="N272" i="4"/>
  <c r="O272" i="4" s="1"/>
  <c r="N183" i="4"/>
  <c r="O183" i="4" s="1"/>
  <c r="N146" i="4"/>
  <c r="O146" i="4" s="1"/>
  <c r="N128" i="4"/>
  <c r="O128" i="4" s="1"/>
  <c r="N193" i="4"/>
  <c r="O193" i="4" s="1"/>
  <c r="N186" i="4"/>
  <c r="O186" i="4" s="1"/>
  <c r="N286" i="4"/>
  <c r="O286" i="4" s="1"/>
  <c r="N42" i="4"/>
  <c r="O42" i="4" s="1"/>
  <c r="N93" i="4"/>
  <c r="O93" i="4" s="1"/>
  <c r="N184" i="4"/>
  <c r="O184" i="4" s="1"/>
  <c r="N307" i="4"/>
  <c r="O307" i="4" s="1"/>
  <c r="N177" i="4"/>
  <c r="O177" i="4" s="1"/>
  <c r="N298" i="4"/>
  <c r="O298" i="4" s="1"/>
  <c r="N61" i="4"/>
  <c r="O61" i="4" s="1"/>
  <c r="N113" i="4"/>
  <c r="O113" i="4" s="1"/>
  <c r="N221" i="4"/>
  <c r="O221" i="4" s="1"/>
  <c r="N296" i="4"/>
  <c r="O296" i="4" s="1"/>
  <c r="N329" i="4"/>
  <c r="O329" i="4" s="1"/>
  <c r="Q132" i="5"/>
  <c r="N80" i="4"/>
  <c r="O80" i="4" s="1"/>
  <c r="N68" i="4"/>
  <c r="O68" i="4" s="1"/>
  <c r="N187" i="4"/>
  <c r="O187" i="4" s="1"/>
  <c r="N302" i="4"/>
  <c r="O302" i="4" s="1"/>
  <c r="N241" i="4"/>
  <c r="O241" i="4" s="1"/>
  <c r="N223" i="4"/>
  <c r="O223" i="4" s="1"/>
  <c r="N218" i="4"/>
  <c r="O218" i="4" s="1"/>
  <c r="N197" i="4"/>
  <c r="O197" i="4" s="1"/>
  <c r="N295" i="4"/>
  <c r="O295" i="4" s="1"/>
  <c r="N48" i="4"/>
  <c r="O48" i="4" s="1"/>
  <c r="N102" i="4"/>
  <c r="O102" i="4" s="1"/>
  <c r="N198" i="4"/>
  <c r="O198" i="4" s="1"/>
  <c r="N323" i="4"/>
  <c r="O323" i="4" s="1"/>
  <c r="N188" i="4"/>
  <c r="O188" i="4" s="1"/>
  <c r="N13" i="4"/>
  <c r="O13" i="4" s="1"/>
  <c r="N67" i="4"/>
  <c r="O67" i="4" s="1"/>
  <c r="N124" i="4"/>
  <c r="O124" i="4" s="1"/>
  <c r="N232" i="4"/>
  <c r="O232" i="4" s="1"/>
  <c r="N308" i="4"/>
  <c r="O308" i="4" s="1"/>
  <c r="N98" i="4"/>
  <c r="O98" i="4" s="1"/>
  <c r="N86" i="4"/>
  <c r="O86" i="4" s="1"/>
  <c r="N322" i="4"/>
  <c r="O322" i="4" s="1"/>
  <c r="N310" i="4"/>
  <c r="O310" i="4" s="1"/>
  <c r="N254" i="4"/>
  <c r="O254" i="4" s="1"/>
  <c r="N236" i="4"/>
  <c r="O236" i="4" s="1"/>
  <c r="N290" i="4"/>
  <c r="O290" i="4" s="1"/>
  <c r="N204" i="4"/>
  <c r="O204" i="4" s="1"/>
  <c r="N301" i="4"/>
  <c r="O301" i="4" s="1"/>
  <c r="N51" i="4"/>
  <c r="O51" i="4" s="1"/>
  <c r="N105" i="4"/>
  <c r="O105" i="4" s="1"/>
  <c r="N202" i="4"/>
  <c r="O202" i="4" s="1"/>
  <c r="N275" i="4"/>
  <c r="O275" i="4" s="1"/>
  <c r="N195" i="4"/>
  <c r="O195" i="4" s="1"/>
  <c r="N19" i="4"/>
  <c r="O19" i="4" s="1"/>
  <c r="N70" i="4"/>
  <c r="O70" i="4" s="1"/>
  <c r="N131" i="4"/>
  <c r="O131" i="4" s="1"/>
  <c r="N239" i="4"/>
  <c r="O239" i="4" s="1"/>
  <c r="N312" i="4"/>
  <c r="O312" i="4" s="1"/>
  <c r="N17" i="4"/>
  <c r="O17" i="4" s="1"/>
  <c r="N104" i="4"/>
  <c r="O104" i="4" s="1"/>
  <c r="N111" i="4"/>
  <c r="O111" i="4" s="1"/>
  <c r="N326" i="4"/>
  <c r="O326" i="4" s="1"/>
  <c r="N280" i="4"/>
  <c r="O280" i="4" s="1"/>
  <c r="N327" i="4"/>
  <c r="O327" i="4" s="1"/>
  <c r="N114" i="4"/>
  <c r="O114" i="4" s="1"/>
  <c r="N208" i="4"/>
  <c r="O208" i="4" s="1"/>
  <c r="N306" i="4"/>
  <c r="O306" i="4" s="1"/>
  <c r="N54" i="4"/>
  <c r="O54" i="4" s="1"/>
  <c r="N108" i="4"/>
  <c r="O108" i="4" s="1"/>
  <c r="N209" i="4"/>
  <c r="O209" i="4" s="1"/>
  <c r="N279" i="4"/>
  <c r="O279" i="4" s="1"/>
  <c r="N199" i="4"/>
  <c r="O199" i="4" s="1"/>
  <c r="N22" i="4"/>
  <c r="O22" i="4" s="1"/>
  <c r="N73" i="4"/>
  <c r="O73" i="4" s="1"/>
  <c r="N142" i="4"/>
  <c r="O142" i="4" s="1"/>
  <c r="N246" i="4"/>
  <c r="O246" i="4" s="1"/>
  <c r="N320" i="4"/>
  <c r="O320" i="4" s="1"/>
  <c r="N169" i="4"/>
  <c r="O169" i="4" s="1"/>
  <c r="N194" i="4"/>
  <c r="O194" i="4" s="1"/>
  <c r="N71" i="4"/>
  <c r="O71" i="4" s="1"/>
  <c r="N92" i="4"/>
  <c r="O92" i="4" s="1"/>
  <c r="N50" i="4"/>
  <c r="O50" i="4" s="1"/>
  <c r="N122" i="4"/>
  <c r="O122" i="4" s="1"/>
  <c r="N132" i="4"/>
  <c r="O132" i="4" s="1"/>
  <c r="N233" i="4"/>
  <c r="O233" i="4" s="1"/>
  <c r="N12" i="4"/>
  <c r="O12" i="4" s="1"/>
  <c r="N66" i="4"/>
  <c r="O66" i="4" s="1"/>
  <c r="N126" i="4"/>
  <c r="O126" i="4" s="1"/>
  <c r="N234" i="4"/>
  <c r="O234" i="4" s="1"/>
  <c r="N116" i="4"/>
  <c r="O116" i="4" s="1"/>
  <c r="N217" i="4"/>
  <c r="O217" i="4" s="1"/>
  <c r="N31" i="4"/>
  <c r="O31" i="4" s="1"/>
  <c r="N82" i="4"/>
  <c r="O82" i="4" s="1"/>
  <c r="N160" i="4"/>
  <c r="O160" i="4" s="1"/>
  <c r="N264" i="4"/>
  <c r="O264" i="4" s="1"/>
  <c r="N328" i="4"/>
  <c r="O328" i="4" s="1"/>
  <c r="N182" i="4"/>
  <c r="O182" i="4" s="1"/>
  <c r="N219" i="4"/>
  <c r="O219" i="4" s="1"/>
  <c r="N77" i="4"/>
  <c r="O77" i="4" s="1"/>
  <c r="N225" i="4"/>
  <c r="O225" i="4" s="1"/>
  <c r="N140" i="4"/>
  <c r="O140" i="4" s="1"/>
  <c r="N135" i="4"/>
  <c r="O135" i="4" s="1"/>
  <c r="N136" i="4"/>
  <c r="O136" i="4" s="1"/>
  <c r="N240" i="4"/>
  <c r="O240" i="4" s="1"/>
  <c r="N15" i="4"/>
  <c r="O15" i="4" s="1"/>
  <c r="N69" i="4"/>
  <c r="O69" i="4" s="1"/>
  <c r="N130" i="4"/>
  <c r="O130" i="4" s="1"/>
  <c r="N238" i="4"/>
  <c r="O238" i="4" s="1"/>
  <c r="N123" i="4"/>
  <c r="O123" i="4" s="1"/>
  <c r="N231" i="4"/>
  <c r="O231" i="4" s="1"/>
  <c r="N34" i="4"/>
  <c r="O34" i="4" s="1"/>
  <c r="N85" i="4"/>
  <c r="O85" i="4" s="1"/>
  <c r="N167" i="4"/>
  <c r="O167" i="4" s="1"/>
  <c r="N268" i="4"/>
  <c r="O268" i="4" s="1"/>
  <c r="N281" i="4"/>
  <c r="O281" i="4" s="1"/>
  <c r="N62" i="4"/>
  <c r="O62" i="4" s="1"/>
  <c r="N59" i="4"/>
  <c r="O59" i="4" s="1"/>
  <c r="N89" i="4"/>
  <c r="O89" i="4" s="1"/>
  <c r="N315" i="4"/>
  <c r="O315" i="4" s="1"/>
  <c r="N165" i="4"/>
  <c r="O165" i="4" s="1"/>
  <c r="N230" i="4"/>
  <c r="O230" i="4" s="1"/>
  <c r="N150" i="4"/>
  <c r="O150" i="4" s="1"/>
  <c r="N251" i="4"/>
  <c r="O251" i="4" s="1"/>
  <c r="N21" i="4"/>
  <c r="O21" i="4" s="1"/>
  <c r="N75" i="4"/>
  <c r="O75" i="4" s="1"/>
  <c r="N144" i="4"/>
  <c r="O144" i="4" s="1"/>
  <c r="N252" i="4"/>
  <c r="O252" i="4" s="1"/>
  <c r="N134" i="4"/>
  <c r="O134" i="4" s="1"/>
  <c r="N242" i="4"/>
  <c r="O242" i="4" s="1"/>
  <c r="N40" i="4"/>
  <c r="O40" i="4" s="1"/>
  <c r="N94" i="4"/>
  <c r="O94" i="4" s="1"/>
  <c r="N178" i="4"/>
  <c r="O178" i="4" s="1"/>
  <c r="N299" i="4"/>
  <c r="O299" i="4" s="1"/>
  <c r="N285" i="4"/>
  <c r="O285" i="4" s="1"/>
  <c r="N47" i="4"/>
  <c r="O47" i="4" s="1"/>
  <c r="N139" i="4"/>
  <c r="O139" i="4" s="1"/>
  <c r="N95" i="4"/>
  <c r="O95" i="4" s="1"/>
  <c r="N207" i="4"/>
  <c r="O207" i="4" s="1"/>
  <c r="N248" i="4"/>
  <c r="O248" i="4" s="1"/>
  <c r="N243" i="4"/>
  <c r="O243" i="4" s="1"/>
  <c r="N154" i="4"/>
  <c r="O154" i="4" s="1"/>
  <c r="N258" i="4"/>
  <c r="O258" i="4" s="1"/>
  <c r="N27" i="4"/>
  <c r="O27" i="4" s="1"/>
  <c r="N78" i="4"/>
  <c r="O78" i="4" s="1"/>
  <c r="N148" i="4"/>
  <c r="O148" i="4" s="1"/>
  <c r="N256" i="4"/>
  <c r="O256" i="4" s="1"/>
  <c r="N141" i="4"/>
  <c r="O141" i="4" s="1"/>
  <c r="N249" i="4"/>
  <c r="O249" i="4" s="1"/>
  <c r="N43" i="4"/>
  <c r="O43" i="4" s="1"/>
  <c r="N97" i="4"/>
  <c r="O97" i="4" s="1"/>
  <c r="N185" i="4"/>
  <c r="O185" i="4" s="1"/>
  <c r="N319" i="4"/>
  <c r="O319" i="4" s="1"/>
  <c r="N293" i="4"/>
  <c r="O293" i="4" s="1"/>
  <c r="N32" i="4"/>
  <c r="O32" i="4" s="1"/>
  <c r="N151" i="4"/>
  <c r="O151" i="4" s="1"/>
  <c r="N101" i="4"/>
  <c r="O101" i="4" s="1"/>
  <c r="N14" i="4"/>
  <c r="O14" i="4" s="1"/>
  <c r="N261" i="4"/>
  <c r="O261" i="4" s="1"/>
  <c r="N255" i="4"/>
  <c r="O255" i="4" s="1"/>
  <c r="N161" i="4"/>
  <c r="O161" i="4" s="1"/>
  <c r="N262" i="4"/>
  <c r="O262" i="4" s="1"/>
  <c r="N30" i="4"/>
  <c r="O30" i="4" s="1"/>
  <c r="N81" i="4"/>
  <c r="O81" i="4" s="1"/>
  <c r="N162" i="4"/>
  <c r="O162" i="4" s="1"/>
  <c r="N263" i="4"/>
  <c r="O263" i="4" s="1"/>
  <c r="N145" i="4"/>
  <c r="O145" i="4" s="1"/>
  <c r="N253" i="4"/>
  <c r="O253" i="4" s="1"/>
  <c r="N46" i="4"/>
  <c r="O46" i="4" s="1"/>
  <c r="N100" i="4"/>
  <c r="O100" i="4" s="1"/>
  <c r="N192" i="4"/>
  <c r="O192" i="4" s="1"/>
  <c r="N325" i="4"/>
  <c r="O325" i="4" s="1"/>
  <c r="N297" i="4"/>
  <c r="O297" i="4" s="1"/>
  <c r="R294" i="6"/>
  <c r="R296" i="6"/>
  <c r="R271" i="6"/>
  <c r="R300" i="6"/>
  <c r="R146" i="6"/>
  <c r="R145" i="6"/>
  <c r="R208" i="6"/>
  <c r="R114" i="6"/>
  <c r="R138" i="6"/>
  <c r="R196" i="6"/>
  <c r="R45" i="6"/>
  <c r="R314" i="6"/>
  <c r="R170" i="6"/>
  <c r="R157" i="6"/>
  <c r="R189" i="6"/>
  <c r="R23" i="6"/>
  <c r="R122" i="6"/>
  <c r="R28" i="6"/>
  <c r="R118" i="6"/>
  <c r="R301" i="6"/>
  <c r="R309" i="6"/>
  <c r="R303" i="6"/>
  <c r="R193" i="6"/>
  <c r="R103" i="6"/>
  <c r="R54" i="6"/>
  <c r="R40" i="6"/>
  <c r="R214" i="6"/>
  <c r="R313" i="6"/>
  <c r="R331" i="6"/>
  <c r="R57" i="6"/>
  <c r="R297" i="6"/>
  <c r="R41" i="6"/>
  <c r="R63" i="6"/>
  <c r="R64" i="6"/>
  <c r="R226" i="6"/>
  <c r="R191" i="6"/>
  <c r="R16" i="6"/>
  <c r="R150" i="6"/>
  <c r="R195" i="6"/>
  <c r="R161" i="6"/>
  <c r="R238" i="6"/>
  <c r="R287" i="6"/>
  <c r="R290" i="6"/>
  <c r="R270" i="6"/>
  <c r="R34" i="6"/>
  <c r="R173" i="6"/>
  <c r="R262" i="6"/>
  <c r="R299" i="6"/>
  <c r="R186" i="6"/>
  <c r="R46" i="6"/>
  <c r="R14" i="6"/>
  <c r="R116" i="6"/>
  <c r="Q33" i="4"/>
  <c r="Q69" i="4"/>
  <c r="Q105" i="4"/>
  <c r="Q209" i="4"/>
  <c r="Q127" i="4"/>
  <c r="Q235" i="4"/>
  <c r="Q117" i="4"/>
  <c r="Q153" i="4"/>
  <c r="Q189" i="4"/>
  <c r="Q225" i="4"/>
  <c r="Q261" i="4"/>
  <c r="Q295" i="4"/>
  <c r="Q331" i="4"/>
  <c r="Q305" i="4"/>
  <c r="Q214" i="4"/>
  <c r="Q32" i="4"/>
  <c r="Q315" i="4"/>
  <c r="N53" i="4"/>
  <c r="O53" i="4" s="1"/>
  <c r="N278" i="4"/>
  <c r="O278" i="4" s="1"/>
  <c r="N164" i="4"/>
  <c r="O164" i="4" s="1"/>
  <c r="N83" i="4"/>
  <c r="O83" i="4" s="1"/>
  <c r="N26" i="4"/>
  <c r="O26" i="4" s="1"/>
  <c r="N229" i="4"/>
  <c r="O229" i="4" s="1"/>
  <c r="N129" i="4"/>
  <c r="O129" i="4" s="1"/>
  <c r="N147" i="4"/>
  <c r="O147" i="4" s="1"/>
  <c r="N118" i="4"/>
  <c r="O118" i="4" s="1"/>
  <c r="N190" i="4"/>
  <c r="O190" i="4" s="1"/>
  <c r="N269" i="4"/>
  <c r="O269" i="4" s="1"/>
  <c r="N18" i="4"/>
  <c r="O18" i="4" s="1"/>
  <c r="N57" i="4"/>
  <c r="O57" i="4" s="1"/>
  <c r="N99" i="4"/>
  <c r="O99" i="4" s="1"/>
  <c r="N166" i="4"/>
  <c r="O166" i="4" s="1"/>
  <c r="N245" i="4"/>
  <c r="O245" i="4" s="1"/>
  <c r="N303" i="4"/>
  <c r="O303" i="4" s="1"/>
  <c r="N181" i="4"/>
  <c r="O181" i="4" s="1"/>
  <c r="N260" i="4"/>
  <c r="O260" i="4" s="1"/>
  <c r="N37" i="4"/>
  <c r="O37" i="4" s="1"/>
  <c r="N76" i="4"/>
  <c r="O76" i="4" s="1"/>
  <c r="N120" i="4"/>
  <c r="O120" i="4" s="1"/>
  <c r="N196" i="4"/>
  <c r="O196" i="4" s="1"/>
  <c r="N276" i="4"/>
  <c r="O276" i="4" s="1"/>
  <c r="N304" i="4"/>
  <c r="O304" i="4" s="1"/>
  <c r="Q91" i="4"/>
  <c r="Q29" i="4"/>
  <c r="Q107" i="4"/>
  <c r="Q124" i="4"/>
  <c r="Q52" i="4"/>
  <c r="Q53" i="4"/>
  <c r="Q128" i="4"/>
  <c r="Q236" i="4"/>
  <c r="Q169" i="4"/>
  <c r="Q297" i="4"/>
  <c r="Q45" i="4"/>
  <c r="Q81" i="4"/>
  <c r="Q137" i="4"/>
  <c r="Q245" i="4"/>
  <c r="Q163" i="4"/>
  <c r="Q309" i="4"/>
  <c r="Q129" i="4"/>
  <c r="Q165" i="4"/>
  <c r="Q201" i="4"/>
  <c r="Q237" i="4"/>
  <c r="Q271" i="4"/>
  <c r="Q307" i="4"/>
  <c r="Q281" i="4"/>
  <c r="Q317" i="4"/>
  <c r="Q100" i="4"/>
  <c r="N265" i="4"/>
  <c r="O265" i="4" s="1"/>
  <c r="N117" i="4"/>
  <c r="O117" i="4" s="1"/>
  <c r="N175" i="4"/>
  <c r="O175" i="4" s="1"/>
  <c r="N107" i="4"/>
  <c r="O107" i="4" s="1"/>
  <c r="N237" i="4"/>
  <c r="O237" i="4" s="1"/>
  <c r="N287" i="4"/>
  <c r="O287" i="4" s="1"/>
  <c r="N211" i="4"/>
  <c r="O211" i="4" s="1"/>
  <c r="N11" i="4"/>
  <c r="O11" i="4" s="1"/>
  <c r="N143" i="4"/>
  <c r="O143" i="4" s="1"/>
  <c r="N222" i="4"/>
  <c r="O222" i="4" s="1"/>
  <c r="N291" i="4"/>
  <c r="O291" i="4" s="1"/>
  <c r="N33" i="4"/>
  <c r="O33" i="4" s="1"/>
  <c r="N72" i="4"/>
  <c r="O72" i="4" s="1"/>
  <c r="N112" i="4"/>
  <c r="O112" i="4" s="1"/>
  <c r="N191" i="4"/>
  <c r="O191" i="4" s="1"/>
  <c r="N270" i="4"/>
  <c r="O270" i="4" s="1"/>
  <c r="N127" i="4"/>
  <c r="O127" i="4" s="1"/>
  <c r="N206" i="4"/>
  <c r="O206" i="4" s="1"/>
  <c r="N314" i="4"/>
  <c r="O314" i="4" s="1"/>
  <c r="N49" i="4"/>
  <c r="O49" i="4" s="1"/>
  <c r="N91" i="4"/>
  <c r="O91" i="4" s="1"/>
  <c r="N149" i="4"/>
  <c r="O149" i="4" s="1"/>
  <c r="N228" i="4"/>
  <c r="O228" i="4" s="1"/>
  <c r="N330" i="4"/>
  <c r="O330" i="4" s="1"/>
  <c r="N274" i="4"/>
  <c r="O274" i="4" s="1"/>
  <c r="Q44" i="4"/>
  <c r="Q83" i="4"/>
  <c r="Q136" i="4"/>
  <c r="Q38" i="4"/>
  <c r="Q257" i="4"/>
  <c r="Q164" i="4"/>
  <c r="Q321" i="4"/>
  <c r="Q205" i="4"/>
  <c r="Q21" i="4"/>
  <c r="Q57" i="4"/>
  <c r="Q93" i="4"/>
  <c r="Q173" i="4"/>
  <c r="Q279" i="4"/>
  <c r="Q199" i="4"/>
  <c r="Q324" i="4"/>
  <c r="Q141" i="4"/>
  <c r="Q177" i="4"/>
  <c r="Q213" i="4"/>
  <c r="Q249" i="4"/>
  <c r="Q283" i="4"/>
  <c r="Q319" i="4"/>
  <c r="Q293" i="4"/>
  <c r="Q329" i="4"/>
  <c r="Q76" i="4"/>
  <c r="Q68" i="4"/>
  <c r="N38" i="4"/>
  <c r="O38" i="4" s="1"/>
  <c r="N23" i="4"/>
  <c r="O23" i="4" s="1"/>
  <c r="N44" i="4"/>
  <c r="O44" i="4" s="1"/>
  <c r="N266" i="4"/>
  <c r="O266" i="4" s="1"/>
  <c r="N29" i="4"/>
  <c r="O29" i="4" s="1"/>
  <c r="N153" i="4"/>
  <c r="O153" i="4" s="1"/>
  <c r="N20" i="4"/>
  <c r="O20" i="4" s="1"/>
  <c r="N205" i="4"/>
  <c r="O205" i="4" s="1"/>
  <c r="N168" i="4"/>
  <c r="O168" i="4" s="1"/>
  <c r="N244" i="4"/>
  <c r="O244" i="4" s="1"/>
  <c r="N311" i="4"/>
  <c r="O311" i="4" s="1"/>
  <c r="N45" i="4"/>
  <c r="O45" i="4" s="1"/>
  <c r="N84" i="4"/>
  <c r="O84" i="4" s="1"/>
  <c r="N137" i="4"/>
  <c r="O137" i="4" s="1"/>
  <c r="N216" i="4"/>
  <c r="O216" i="4" s="1"/>
  <c r="N313" i="4"/>
  <c r="O313" i="4" s="1"/>
  <c r="N159" i="4"/>
  <c r="O159" i="4" s="1"/>
  <c r="N235" i="4"/>
  <c r="O235" i="4" s="1"/>
  <c r="N25" i="4"/>
  <c r="O25" i="4" s="1"/>
  <c r="N64" i="4"/>
  <c r="O64" i="4" s="1"/>
  <c r="N103" i="4"/>
  <c r="O103" i="4" s="1"/>
  <c r="N174" i="4"/>
  <c r="O174" i="4" s="1"/>
  <c r="N250" i="4"/>
  <c r="O250" i="4" s="1"/>
  <c r="N300" i="4"/>
  <c r="O300" i="4" s="1"/>
  <c r="N305" i="4"/>
  <c r="O305" i="4" s="1"/>
  <c r="R273" i="6"/>
  <c r="R316" i="6"/>
  <c r="R172" i="6"/>
  <c r="R275" i="6"/>
  <c r="R131" i="6"/>
  <c r="R277" i="6"/>
  <c r="R133" i="6"/>
  <c r="R236" i="6"/>
  <c r="R92" i="6"/>
  <c r="R202" i="6"/>
  <c r="R120" i="6"/>
  <c r="R254" i="6"/>
  <c r="R102" i="6"/>
  <c r="R281" i="6"/>
  <c r="R319" i="6"/>
  <c r="R305" i="6"/>
  <c r="R156" i="6"/>
  <c r="R93" i="6"/>
  <c r="R22" i="6"/>
  <c r="R279" i="6"/>
  <c r="R42" i="6"/>
  <c r="R36" i="6"/>
  <c r="R211" i="6"/>
  <c r="R89" i="6"/>
  <c r="R317" i="6"/>
  <c r="R11" i="6"/>
  <c r="R174" i="6"/>
  <c r="R33" i="6"/>
  <c r="R209" i="6"/>
  <c r="R261" i="6"/>
  <c r="R304" i="6"/>
  <c r="R160" i="6"/>
  <c r="R263" i="6"/>
  <c r="R119" i="6"/>
  <c r="R265" i="6"/>
  <c r="R121" i="6"/>
  <c r="R224" i="6"/>
  <c r="R80" i="6"/>
  <c r="R190" i="6"/>
  <c r="R113" i="6"/>
  <c r="R242" i="6"/>
  <c r="R91" i="6"/>
  <c r="R269" i="6"/>
  <c r="R141" i="6"/>
  <c r="R288" i="6"/>
  <c r="R144" i="6"/>
  <c r="R71" i="6"/>
  <c r="R267" i="6"/>
  <c r="R159" i="6"/>
  <c r="R39" i="6"/>
  <c r="R199" i="6"/>
  <c r="R65" i="6"/>
  <c r="R210" i="6"/>
  <c r="R72" i="6"/>
  <c r="R163" i="6"/>
  <c r="R249" i="6"/>
  <c r="R292" i="6"/>
  <c r="R148" i="6"/>
  <c r="R251" i="6"/>
  <c r="R107" i="6"/>
  <c r="R253" i="6"/>
  <c r="R109" i="6"/>
  <c r="R212" i="6"/>
  <c r="R322" i="6"/>
  <c r="R178" i="6"/>
  <c r="R84" i="6"/>
  <c r="R230" i="6"/>
  <c r="R74" i="6"/>
  <c r="R257" i="6"/>
  <c r="R134" i="6"/>
  <c r="R276" i="6"/>
  <c r="R126" i="6"/>
  <c r="R61" i="6"/>
  <c r="R255" i="6"/>
  <c r="R137" i="6"/>
  <c r="R30" i="6"/>
  <c r="R24" i="6"/>
  <c r="R187" i="6"/>
  <c r="R282" i="6"/>
  <c r="R59" i="6"/>
  <c r="R326" i="6"/>
  <c r="R17" i="6"/>
  <c r="R207" i="6"/>
  <c r="R237" i="6"/>
  <c r="R280" i="6"/>
  <c r="R136" i="6"/>
  <c r="R239" i="6"/>
  <c r="R95" i="6"/>
  <c r="R241" i="6"/>
  <c r="R97" i="6"/>
  <c r="R200" i="6"/>
  <c r="R310" i="6"/>
  <c r="R166" i="6"/>
  <c r="R77" i="6"/>
  <c r="R218" i="6"/>
  <c r="R62" i="6"/>
  <c r="R245" i="6"/>
  <c r="R123" i="6"/>
  <c r="R264" i="6"/>
  <c r="R115" i="6"/>
  <c r="R49" i="6"/>
  <c r="R243" i="6"/>
  <c r="R132" i="6"/>
  <c r="R27" i="6"/>
  <c r="R21" i="6"/>
  <c r="R175" i="6"/>
  <c r="R246" i="6"/>
  <c r="R258" i="6"/>
  <c r="R139" i="6"/>
  <c r="R56" i="6"/>
  <c r="R164" i="6"/>
  <c r="R225" i="6"/>
  <c r="R268" i="6"/>
  <c r="R124" i="6"/>
  <c r="R227" i="6"/>
  <c r="R83" i="6"/>
  <c r="R229" i="6"/>
  <c r="R85" i="6"/>
  <c r="R188" i="6"/>
  <c r="R298" i="6"/>
  <c r="R154" i="6"/>
  <c r="R67" i="6"/>
  <c r="R206" i="6"/>
  <c r="R50" i="6"/>
  <c r="R233" i="6"/>
  <c r="R105" i="6"/>
  <c r="R252" i="6"/>
  <c r="R90" i="6"/>
  <c r="R37" i="6"/>
  <c r="R231" i="6"/>
  <c r="R117" i="6"/>
  <c r="R18" i="6"/>
  <c r="R12" i="6"/>
  <c r="R86" i="6"/>
  <c r="R125" i="6"/>
  <c r="R75" i="6"/>
  <c r="R222" i="6"/>
  <c r="R213" i="6"/>
  <c r="R256" i="6"/>
  <c r="R112" i="6"/>
  <c r="R215" i="6"/>
  <c r="R330" i="6"/>
  <c r="R217" i="6"/>
  <c r="R320" i="6"/>
  <c r="R176" i="6"/>
  <c r="R286" i="6"/>
  <c r="R142" i="6"/>
  <c r="R55" i="6"/>
  <c r="R194" i="6"/>
  <c r="R38" i="6"/>
  <c r="R221" i="6"/>
  <c r="R98" i="6"/>
  <c r="R240" i="6"/>
  <c r="R79" i="6"/>
  <c r="R25" i="6"/>
  <c r="R219" i="6"/>
  <c r="R101" i="6"/>
  <c r="R15" i="6"/>
  <c r="R312" i="6"/>
  <c r="R81" i="6"/>
  <c r="R68" i="6"/>
  <c r="R44" i="6"/>
  <c r="R69" i="6"/>
  <c r="R201" i="6"/>
  <c r="R244" i="6"/>
  <c r="R100" i="6"/>
  <c r="R203" i="6"/>
  <c r="R318" i="6"/>
  <c r="R205" i="6"/>
  <c r="R308" i="6"/>
  <c r="R274" i="6"/>
  <c r="R130" i="6"/>
  <c r="R43" i="6"/>
  <c r="R182" i="6"/>
  <c r="R26" i="6"/>
  <c r="R87" i="6"/>
  <c r="R228" i="6"/>
  <c r="R76" i="6"/>
  <c r="R13" i="6"/>
  <c r="R96" i="6"/>
  <c r="R147" i="6"/>
  <c r="R291" i="6"/>
  <c r="R295" i="6"/>
  <c r="R29" i="6"/>
  <c r="R151" i="6"/>
  <c r="R53" i="6"/>
  <c r="R321" i="6"/>
  <c r="R177" i="6"/>
  <c r="R220" i="6"/>
  <c r="R323" i="6"/>
  <c r="R179" i="6"/>
  <c r="R325" i="6"/>
  <c r="R181" i="6"/>
  <c r="R284" i="6"/>
  <c r="R140" i="6"/>
  <c r="R250" i="6"/>
  <c r="R106" i="6"/>
  <c r="R19" i="6"/>
  <c r="R158" i="6"/>
  <c r="R324" i="6"/>
  <c r="R185" i="6"/>
  <c r="R52" i="6"/>
  <c r="R204" i="6"/>
  <c r="R327" i="6"/>
  <c r="R78" i="6"/>
  <c r="R183" i="6"/>
  <c r="R70" i="6"/>
  <c r="R60" i="6"/>
  <c r="R259" i="6"/>
  <c r="R135" i="6"/>
  <c r="R47" i="6"/>
  <c r="R35" i="6"/>
  <c r="R32" i="6"/>
  <c r="R234" i="6"/>
  <c r="R99" i="6"/>
  <c r="R51" i="6"/>
  <c r="R129" i="6"/>
  <c r="R149" i="6"/>
  <c r="R266" i="6"/>
  <c r="R104" i="6"/>
  <c r="R289" i="6"/>
  <c r="R184" i="6"/>
  <c r="R283" i="6"/>
  <c r="R162" i="6"/>
  <c r="R73" i="6"/>
  <c r="R66" i="6"/>
  <c r="R197" i="6"/>
  <c r="R31" i="6"/>
  <c r="R152" i="6"/>
  <c r="R306" i="6"/>
  <c r="R232" i="6"/>
  <c r="R110" i="6"/>
  <c r="R223" i="6"/>
  <c r="R111" i="6"/>
  <c r="R168" i="6"/>
  <c r="R293" i="6"/>
  <c r="R329" i="6"/>
  <c r="R248" i="6"/>
  <c r="R143" i="6"/>
  <c r="R328" i="6"/>
  <c r="R198" i="6"/>
  <c r="R235" i="6"/>
  <c r="R171" i="6"/>
  <c r="R180" i="6"/>
  <c r="R302" i="6"/>
  <c r="R82" i="6"/>
  <c r="R260" i="6"/>
  <c r="R155" i="6"/>
  <c r="R153" i="6"/>
  <c r="R20" i="6"/>
  <c r="R247" i="6"/>
  <c r="R307" i="6"/>
  <c r="R192" i="6"/>
  <c r="R315" i="6"/>
  <c r="R94" i="6"/>
  <c r="R272" i="6"/>
  <c r="R167" i="6"/>
  <c r="R165" i="6"/>
  <c r="N112" i="3"/>
  <c r="O112" i="3" s="1"/>
  <c r="N13" i="3"/>
  <c r="O13" i="3" s="1"/>
  <c r="N79" i="3"/>
  <c r="O79" i="3" s="1"/>
  <c r="N320" i="3"/>
  <c r="O320" i="3" s="1"/>
  <c r="N28" i="3"/>
  <c r="O28" i="3" s="1"/>
  <c r="N83" i="3"/>
  <c r="O83" i="3" s="1"/>
  <c r="Q331" i="6"/>
  <c r="Q194" i="6"/>
  <c r="Q237" i="6"/>
  <c r="Q93" i="6"/>
  <c r="Q208" i="6"/>
  <c r="Q323" i="6"/>
  <c r="Q222" i="6"/>
  <c r="Q78" i="6"/>
  <c r="Q193" i="6"/>
  <c r="Q303" i="6"/>
  <c r="Q159" i="6"/>
  <c r="Q72" i="6"/>
  <c r="Q67" i="6"/>
  <c r="Q257" i="6"/>
  <c r="Q69" i="6"/>
  <c r="Q236" i="6"/>
  <c r="Q83" i="6"/>
  <c r="Q98" i="6"/>
  <c r="Q190" i="6"/>
  <c r="Q274" i="6"/>
  <c r="Q286" i="6"/>
  <c r="Q30" i="6"/>
  <c r="Q53" i="6"/>
  <c r="Q211" i="6"/>
  <c r="Q317" i="6"/>
  <c r="Q295" i="6"/>
  <c r="Q163" i="6"/>
  <c r="Q223" i="6"/>
  <c r="Q86" i="6"/>
  <c r="Q59" i="6"/>
  <c r="Q252" i="6"/>
  <c r="Q41" i="6"/>
  <c r="Q27" i="6"/>
  <c r="Q92" i="6"/>
  <c r="Q300" i="6"/>
  <c r="Q226" i="6"/>
  <c r="Q139" i="6"/>
  <c r="Q152" i="6"/>
  <c r="Q305" i="6"/>
  <c r="Q197" i="6"/>
  <c r="Q19" i="6"/>
  <c r="Q36" i="6"/>
  <c r="Q135" i="6"/>
  <c r="Q291" i="6"/>
  <c r="Q205" i="6"/>
  <c r="Q102" i="6"/>
  <c r="Q258" i="6"/>
  <c r="Q112" i="6"/>
  <c r="Q268" i="6"/>
  <c r="Q165" i="6"/>
  <c r="Q321" i="6"/>
  <c r="Q290" i="6"/>
  <c r="N296" i="3"/>
  <c r="O296" i="3" s="1"/>
  <c r="N42" i="3"/>
  <c r="O42" i="3" s="1"/>
  <c r="N23" i="3"/>
  <c r="O23" i="3" s="1"/>
  <c r="N50" i="3"/>
  <c r="O50" i="3" s="1"/>
  <c r="N48" i="3"/>
  <c r="O48" i="3" s="1"/>
  <c r="N300" i="3"/>
  <c r="O300" i="3" s="1"/>
  <c r="N179" i="3"/>
  <c r="O179" i="3" s="1"/>
  <c r="N279" i="3"/>
  <c r="O279" i="3" s="1"/>
  <c r="Q104" i="6"/>
  <c r="Q251" i="6"/>
  <c r="Q180" i="6"/>
  <c r="Q115" i="6"/>
  <c r="Q44" i="6"/>
  <c r="Q39" i="6"/>
  <c r="Q128" i="6"/>
  <c r="Q13" i="6"/>
  <c r="Q238" i="6"/>
  <c r="Q167" i="6"/>
  <c r="Q164" i="6"/>
  <c r="Q319" i="6"/>
  <c r="Q209" i="6"/>
  <c r="Q31" i="6"/>
  <c r="Q48" i="6"/>
  <c r="Q147" i="6"/>
  <c r="Q315" i="6"/>
  <c r="Q217" i="6"/>
  <c r="Q114" i="6"/>
  <c r="Q270" i="6"/>
  <c r="Q124" i="6"/>
  <c r="Q280" i="6"/>
  <c r="Q177" i="6"/>
  <c r="Q302" i="6"/>
  <c r="N55" i="3"/>
  <c r="O55" i="3" s="1"/>
  <c r="N56" i="3"/>
  <c r="O56" i="3" s="1"/>
  <c r="N47" i="3"/>
  <c r="O47" i="3" s="1"/>
  <c r="N88" i="3"/>
  <c r="O88" i="3" s="1"/>
  <c r="N53" i="3"/>
  <c r="O53" i="3" s="1"/>
  <c r="N306" i="3"/>
  <c r="O306" i="3" s="1"/>
  <c r="N203" i="3"/>
  <c r="O203" i="3" s="1"/>
  <c r="Q146" i="6"/>
  <c r="Q283" i="6"/>
  <c r="Q11" i="6"/>
  <c r="Q239" i="6"/>
  <c r="Q203" i="6"/>
  <c r="Q56" i="6"/>
  <c r="Q42" i="6"/>
  <c r="Q154" i="6"/>
  <c r="Q25" i="6"/>
  <c r="Q250" i="6"/>
  <c r="Q275" i="6"/>
  <c r="Q176" i="6"/>
  <c r="Q21" i="6"/>
  <c r="Q221" i="6"/>
  <c r="Q43" i="6"/>
  <c r="Q60" i="6"/>
  <c r="Q171" i="6"/>
  <c r="Q327" i="6"/>
  <c r="Q229" i="6"/>
  <c r="Q126" i="6"/>
  <c r="Q282" i="6"/>
  <c r="Q136" i="6"/>
  <c r="Q292" i="6"/>
  <c r="Q189" i="6"/>
  <c r="Q158" i="6"/>
  <c r="Q314" i="6"/>
  <c r="N99" i="3"/>
  <c r="O99" i="3" s="1"/>
  <c r="N109" i="3"/>
  <c r="O109" i="3" s="1"/>
  <c r="N215" i="3"/>
  <c r="O215" i="3" s="1"/>
  <c r="N259" i="3"/>
  <c r="O259" i="3" s="1"/>
  <c r="N106" i="3"/>
  <c r="O106" i="3" s="1"/>
  <c r="N11" i="3"/>
  <c r="O11" i="3" s="1"/>
  <c r="N249" i="3"/>
  <c r="O249" i="3" s="1"/>
  <c r="N195" i="3"/>
  <c r="O195" i="3" s="1"/>
  <c r="N103" i="3"/>
  <c r="O103" i="3" s="1"/>
  <c r="N144" i="3"/>
  <c r="O144" i="3" s="1"/>
  <c r="N265" i="3"/>
  <c r="O265" i="3" s="1"/>
  <c r="Q187" i="6"/>
  <c r="Q151" i="6"/>
  <c r="Q34" i="6"/>
  <c r="Q16" i="6"/>
  <c r="Q200" i="6"/>
  <c r="Q245" i="6"/>
  <c r="Q307" i="6"/>
  <c r="Q97" i="6"/>
  <c r="Q150" i="6"/>
  <c r="Q316" i="6"/>
  <c r="N219" i="3"/>
  <c r="O219" i="3" s="1"/>
  <c r="N152" i="3"/>
  <c r="O152" i="3" s="1"/>
  <c r="N60" i="3"/>
  <c r="O60" i="3" s="1"/>
  <c r="N223" i="3"/>
  <c r="O223" i="3" s="1"/>
  <c r="N149" i="3"/>
  <c r="O149" i="3" s="1"/>
  <c r="N49" i="3"/>
  <c r="O49" i="3" s="1"/>
  <c r="Q14" i="6"/>
  <c r="Q26" i="6"/>
  <c r="Q140" i="6"/>
  <c r="Q228" i="6"/>
  <c r="Q156" i="6"/>
  <c r="Q63" i="6"/>
  <c r="Q46" i="6"/>
  <c r="Q61" i="6"/>
  <c r="Q28" i="6"/>
  <c r="Q276" i="6"/>
  <c r="Q212" i="6"/>
  <c r="Q57" i="6"/>
  <c r="Q269" i="6"/>
  <c r="Q84" i="6"/>
  <c r="Q320" i="6"/>
  <c r="Q207" i="6"/>
  <c r="Q109" i="6"/>
  <c r="Q265" i="6"/>
  <c r="Q162" i="6"/>
  <c r="Q318" i="6"/>
  <c r="Q172" i="6"/>
  <c r="Q328" i="6"/>
  <c r="Q225" i="6"/>
  <c r="Q206" i="6"/>
  <c r="N266" i="3"/>
  <c r="O266" i="3" s="1"/>
  <c r="N205" i="3"/>
  <c r="O205" i="3" s="1"/>
  <c r="N177" i="3"/>
  <c r="O177" i="3" s="1"/>
  <c r="N38" i="3"/>
  <c r="O38" i="3" s="1"/>
  <c r="N202" i="3"/>
  <c r="O202" i="3" s="1"/>
  <c r="N102" i="3"/>
  <c r="O102" i="3" s="1"/>
  <c r="N297" i="3"/>
  <c r="O297" i="3" s="1"/>
  <c r="N138" i="3"/>
  <c r="O138" i="3" s="1"/>
  <c r="N175" i="3"/>
  <c r="O175" i="3" s="1"/>
  <c r="N44" i="3"/>
  <c r="O44" i="3" s="1"/>
  <c r="Q215" i="6"/>
  <c r="Q80" i="6"/>
  <c r="Q54" i="6"/>
  <c r="Q49" i="6"/>
  <c r="Q322" i="6"/>
  <c r="Q45" i="6"/>
  <c r="Q77" i="6"/>
  <c r="Q195" i="6"/>
  <c r="Q253" i="6"/>
  <c r="Q306" i="6"/>
  <c r="Q160" i="6"/>
  <c r="Q182" i="6"/>
  <c r="Q191" i="6"/>
  <c r="Q65" i="6"/>
  <c r="Q192" i="6"/>
  <c r="Q263" i="6"/>
  <c r="Q66" i="6"/>
  <c r="Q70" i="6"/>
  <c r="Q58" i="6"/>
  <c r="Q64" i="6"/>
  <c r="Q40" i="6"/>
  <c r="Q288" i="6"/>
  <c r="Q224" i="6"/>
  <c r="Q94" i="6"/>
  <c r="Q281" i="6"/>
  <c r="Q95" i="6"/>
  <c r="Q329" i="6"/>
  <c r="Q219" i="6"/>
  <c r="Q121" i="6"/>
  <c r="Q277" i="6"/>
  <c r="Q174" i="6"/>
  <c r="Q330" i="6"/>
  <c r="Q184" i="6"/>
  <c r="Q81" i="6"/>
  <c r="Q249" i="6"/>
  <c r="Q218" i="6"/>
  <c r="N287" i="3"/>
  <c r="O287" i="3" s="1"/>
  <c r="N21" i="3"/>
  <c r="O21" i="3" s="1"/>
  <c r="N206" i="3"/>
  <c r="O206" i="3" s="1"/>
  <c r="N76" i="3"/>
  <c r="O76" i="3" s="1"/>
  <c r="N286" i="3"/>
  <c r="O286" i="3" s="1"/>
  <c r="N140" i="3"/>
  <c r="O140" i="3" s="1"/>
  <c r="N313" i="3"/>
  <c r="O313" i="3" s="1"/>
  <c r="Q213" i="6"/>
  <c r="Q259" i="6"/>
  <c r="Q179" i="6"/>
  <c r="Q227" i="6"/>
  <c r="Q271" i="6"/>
  <c r="Q91" i="6"/>
  <c r="Q73" i="6"/>
  <c r="Q82" i="6"/>
  <c r="Q74" i="6"/>
  <c r="Q52" i="6"/>
  <c r="Q71" i="6"/>
  <c r="Q248" i="6"/>
  <c r="Q130" i="6"/>
  <c r="Q293" i="6"/>
  <c r="Q113" i="6"/>
  <c r="Q75" i="6"/>
  <c r="Q231" i="6"/>
  <c r="Q133" i="6"/>
  <c r="Q289" i="6"/>
  <c r="Q186" i="6"/>
  <c r="Q299" i="6"/>
  <c r="Q196" i="6"/>
  <c r="Q105" i="6"/>
  <c r="Q261" i="6"/>
  <c r="Q230" i="6"/>
  <c r="N292" i="3"/>
  <c r="O292" i="3" s="1"/>
  <c r="N64" i="3"/>
  <c r="O64" i="3" s="1"/>
  <c r="N220" i="3"/>
  <c r="O220" i="3" s="1"/>
  <c r="N81" i="3"/>
  <c r="O81" i="3" s="1"/>
  <c r="N70" i="3"/>
  <c r="O70" i="3" s="1"/>
  <c r="N145" i="3"/>
  <c r="O145" i="3" s="1"/>
  <c r="N317" i="3"/>
  <c r="O317" i="3" s="1"/>
  <c r="Q125" i="6"/>
  <c r="Q240" i="6"/>
  <c r="Q216" i="6"/>
  <c r="Q235" i="6"/>
  <c r="Q17" i="6"/>
  <c r="Q122" i="6"/>
  <c r="Q96" i="6"/>
  <c r="Q107" i="6"/>
  <c r="Q155" i="6"/>
  <c r="Q68" i="6"/>
  <c r="Q101" i="6"/>
  <c r="Q260" i="6"/>
  <c r="Q149" i="6"/>
  <c r="Q310" i="6"/>
  <c r="Q120" i="6"/>
  <c r="Q87" i="6"/>
  <c r="Q243" i="6"/>
  <c r="Q145" i="6"/>
  <c r="Q301" i="6"/>
  <c r="Q198" i="6"/>
  <c r="Q311" i="6"/>
  <c r="Q220" i="6"/>
  <c r="Q117" i="6"/>
  <c r="Q273" i="6"/>
  <c r="Q242" i="6"/>
  <c r="N275" i="3"/>
  <c r="O275" i="3" s="1"/>
  <c r="N165" i="3"/>
  <c r="O165" i="3" s="1"/>
  <c r="N256" i="3"/>
  <c r="O256" i="3" s="1"/>
  <c r="N43" i="3"/>
  <c r="O43" i="3" s="1"/>
  <c r="N159" i="3"/>
  <c r="O159" i="3" s="1"/>
  <c r="N293" i="3"/>
  <c r="O293" i="3" s="1"/>
  <c r="N245" i="3"/>
  <c r="O245" i="3" s="1"/>
  <c r="N59" i="3"/>
  <c r="O59" i="3" s="1"/>
  <c r="N193" i="3"/>
  <c r="O193" i="3" s="1"/>
  <c r="N97" i="3"/>
  <c r="O97" i="3" s="1"/>
  <c r="N127" i="3"/>
  <c r="O127" i="3" s="1"/>
  <c r="N274" i="3"/>
  <c r="O274" i="3" s="1"/>
  <c r="N135" i="3"/>
  <c r="O135" i="3" s="1"/>
  <c r="N197" i="3"/>
  <c r="O197" i="3" s="1"/>
  <c r="N101" i="3"/>
  <c r="O101" i="3" s="1"/>
  <c r="N14" i="3"/>
  <c r="O14" i="3" s="1"/>
  <c r="N19" i="3"/>
  <c r="O19" i="3" s="1"/>
  <c r="N33" i="3"/>
  <c r="O33" i="3" s="1"/>
  <c r="N248" i="3"/>
  <c r="O248" i="3" s="1"/>
  <c r="N315" i="3"/>
  <c r="O315" i="3" s="1"/>
  <c r="N251" i="3"/>
  <c r="O251" i="3" s="1"/>
  <c r="N172" i="3"/>
  <c r="O172" i="3" s="1"/>
  <c r="N191" i="3"/>
  <c r="O191" i="3" s="1"/>
  <c r="N318" i="3"/>
  <c r="O318" i="3" s="1"/>
  <c r="N146" i="3"/>
  <c r="O146" i="3" s="1"/>
  <c r="N200" i="3"/>
  <c r="O200" i="3" s="1"/>
  <c r="N104" i="3"/>
  <c r="O104" i="3" s="1"/>
  <c r="N330" i="3"/>
  <c r="O330" i="3" s="1"/>
  <c r="N324" i="3"/>
  <c r="O324" i="3" s="1"/>
  <c r="N260" i="3"/>
  <c r="O260" i="3" s="1"/>
  <c r="N75" i="3"/>
  <c r="O75" i="3" s="1"/>
  <c r="N289" i="3"/>
  <c r="O289" i="3" s="1"/>
  <c r="N241" i="3"/>
  <c r="O241" i="3" s="1"/>
  <c r="N35" i="3"/>
  <c r="O35" i="3" s="1"/>
  <c r="N188" i="3"/>
  <c r="O188" i="3" s="1"/>
  <c r="N92" i="3"/>
  <c r="O92" i="3" s="1"/>
  <c r="N16" i="3"/>
  <c r="O16" i="3" s="1"/>
  <c r="N268" i="3"/>
  <c r="O268" i="3" s="1"/>
  <c r="N111" i="3"/>
  <c r="O111" i="3" s="1"/>
  <c r="N192" i="3"/>
  <c r="O192" i="3" s="1"/>
  <c r="N96" i="3"/>
  <c r="O96" i="3" s="1"/>
  <c r="N94" i="3"/>
  <c r="O94" i="3" s="1"/>
  <c r="N124" i="3"/>
  <c r="O124" i="3" s="1"/>
  <c r="N214" i="3"/>
  <c r="O214" i="3" s="1"/>
  <c r="N238" i="3"/>
  <c r="O238" i="3" s="1"/>
  <c r="N310" i="3"/>
  <c r="O310" i="3" s="1"/>
  <c r="N246" i="3"/>
  <c r="O246" i="3" s="1"/>
  <c r="N158" i="3"/>
  <c r="O158" i="3" s="1"/>
  <c r="N167" i="3"/>
  <c r="O167" i="3" s="1"/>
  <c r="N307" i="3"/>
  <c r="O307" i="3" s="1"/>
  <c r="N141" i="3"/>
  <c r="O141" i="3" s="1"/>
  <c r="N186" i="3"/>
  <c r="O186" i="3" s="1"/>
  <c r="N90" i="3"/>
  <c r="O90" i="3" s="1"/>
  <c r="N228" i="3"/>
  <c r="O228" i="3" s="1"/>
  <c r="N319" i="3"/>
  <c r="O319" i="3" s="1"/>
  <c r="N255" i="3"/>
  <c r="O255" i="3" s="1"/>
  <c r="N51" i="3"/>
  <c r="O51" i="3" s="1"/>
  <c r="N285" i="3"/>
  <c r="O285" i="3" s="1"/>
  <c r="N237" i="3"/>
  <c r="O237" i="3" s="1"/>
  <c r="N204" i="3"/>
  <c r="O204" i="3" s="1"/>
  <c r="N174" i="3"/>
  <c r="O174" i="3" s="1"/>
  <c r="N78" i="3"/>
  <c r="O78" i="3" s="1"/>
  <c r="N327" i="3"/>
  <c r="O327" i="3" s="1"/>
  <c r="N263" i="3"/>
  <c r="O263" i="3" s="1"/>
  <c r="N87" i="3"/>
  <c r="O87" i="3" s="1"/>
  <c r="N178" i="3"/>
  <c r="O178" i="3" s="1"/>
  <c r="N82" i="3"/>
  <c r="O82" i="3" s="1"/>
  <c r="N41" i="3"/>
  <c r="O41" i="3" s="1"/>
  <c r="N110" i="3"/>
  <c r="O110" i="3" s="1"/>
  <c r="N190" i="3"/>
  <c r="O190" i="3" s="1"/>
  <c r="N208" i="3"/>
  <c r="O208" i="3" s="1"/>
  <c r="N304" i="3"/>
  <c r="O304" i="3" s="1"/>
  <c r="N240" i="3"/>
  <c r="O240" i="3" s="1"/>
  <c r="N153" i="3"/>
  <c r="O153" i="3" s="1"/>
  <c r="N143" i="3"/>
  <c r="O143" i="3" s="1"/>
  <c r="N291" i="3"/>
  <c r="O291" i="3" s="1"/>
  <c r="N117" i="3"/>
  <c r="O117" i="3" s="1"/>
  <c r="N181" i="3"/>
  <c r="O181" i="3" s="1"/>
  <c r="N85" i="3"/>
  <c r="O85" i="3" s="1"/>
  <c r="N209" i="3"/>
  <c r="O209" i="3" s="1"/>
  <c r="N314" i="3"/>
  <c r="O314" i="3" s="1"/>
  <c r="N250" i="3"/>
  <c r="O250" i="3" s="1"/>
  <c r="N27" i="3"/>
  <c r="O27" i="3" s="1"/>
  <c r="N329" i="3"/>
  <c r="O329" i="3" s="1"/>
  <c r="N281" i="3"/>
  <c r="O281" i="3" s="1"/>
  <c r="N233" i="3"/>
  <c r="O233" i="3" s="1"/>
  <c r="N142" i="3"/>
  <c r="O142" i="3" s="1"/>
  <c r="N169" i="3"/>
  <c r="O169" i="3" s="1"/>
  <c r="N73" i="3"/>
  <c r="O73" i="3" s="1"/>
  <c r="N322" i="3"/>
  <c r="O322" i="3" s="1"/>
  <c r="N258" i="3"/>
  <c r="O258" i="3" s="1"/>
  <c r="N63" i="3"/>
  <c r="O63" i="3" s="1"/>
  <c r="N173" i="3"/>
  <c r="O173" i="3" s="1"/>
  <c r="N77" i="3"/>
  <c r="O77" i="3" s="1"/>
  <c r="N45" i="3"/>
  <c r="O45" i="3" s="1"/>
  <c r="N105" i="3"/>
  <c r="O105" i="3" s="1"/>
  <c r="N161" i="3"/>
  <c r="O161" i="3" s="1"/>
  <c r="N184" i="3"/>
  <c r="O184" i="3" s="1"/>
  <c r="N299" i="3"/>
  <c r="O299" i="3" s="1"/>
  <c r="N235" i="3"/>
  <c r="O235" i="3" s="1"/>
  <c r="N148" i="3"/>
  <c r="O148" i="3" s="1"/>
  <c r="N119" i="3"/>
  <c r="O119" i="3" s="1"/>
  <c r="N270" i="3"/>
  <c r="O270" i="3" s="1"/>
  <c r="N98" i="3"/>
  <c r="O98" i="3" s="1"/>
  <c r="N176" i="3"/>
  <c r="O176" i="3" s="1"/>
  <c r="N80" i="3"/>
  <c r="O80" i="3" s="1"/>
  <c r="N166" i="3"/>
  <c r="O166" i="3" s="1"/>
  <c r="N308" i="3"/>
  <c r="O308" i="3" s="1"/>
  <c r="N244" i="3"/>
  <c r="O244" i="3" s="1"/>
  <c r="N185" i="3"/>
  <c r="O185" i="3" s="1"/>
  <c r="N325" i="3"/>
  <c r="O325" i="3" s="1"/>
  <c r="N277" i="3"/>
  <c r="O277" i="3" s="1"/>
  <c r="N328" i="3"/>
  <c r="O328" i="3" s="1"/>
  <c r="N113" i="3"/>
  <c r="O113" i="3" s="1"/>
  <c r="N164" i="3"/>
  <c r="O164" i="3" s="1"/>
  <c r="N68" i="3"/>
  <c r="O68" i="3" s="1"/>
  <c r="N316" i="3"/>
  <c r="O316" i="3" s="1"/>
  <c r="N252" i="3"/>
  <c r="O252" i="3" s="1"/>
  <c r="N39" i="3"/>
  <c r="O39" i="3" s="1"/>
  <c r="N168" i="3"/>
  <c r="O168" i="3" s="1"/>
  <c r="N72" i="3"/>
  <c r="O72" i="3" s="1"/>
  <c r="N211" i="3"/>
  <c r="O211" i="3" s="1"/>
  <c r="N100" i="3"/>
  <c r="O100" i="3" s="1"/>
  <c r="N137" i="3"/>
  <c r="O137" i="3" s="1"/>
  <c r="N160" i="3"/>
  <c r="O160" i="3" s="1"/>
  <c r="N294" i="3"/>
  <c r="O294" i="3" s="1"/>
  <c r="N230" i="3"/>
  <c r="O230" i="3" s="1"/>
  <c r="N134" i="3"/>
  <c r="O134" i="3" s="1"/>
  <c r="N95" i="3"/>
  <c r="O95" i="3" s="1"/>
  <c r="N254" i="3"/>
  <c r="O254" i="3" s="1"/>
  <c r="N93" i="3"/>
  <c r="O93" i="3" s="1"/>
  <c r="N162" i="3"/>
  <c r="O162" i="3" s="1"/>
  <c r="N66" i="3"/>
  <c r="O66" i="3" s="1"/>
  <c r="N156" i="3"/>
  <c r="O156" i="3" s="1"/>
  <c r="N303" i="3"/>
  <c r="O303" i="3" s="1"/>
  <c r="N239" i="3"/>
  <c r="O239" i="3" s="1"/>
  <c r="N84" i="3"/>
  <c r="O84" i="3" s="1"/>
  <c r="N321" i="3"/>
  <c r="O321" i="3" s="1"/>
  <c r="N273" i="3"/>
  <c r="O273" i="3" s="1"/>
  <c r="N227" i="3"/>
  <c r="O227" i="3" s="1"/>
  <c r="N17" i="3"/>
  <c r="O17" i="3" s="1"/>
  <c r="N150" i="3"/>
  <c r="O150" i="3" s="1"/>
  <c r="N54" i="3"/>
  <c r="O54" i="3" s="1"/>
  <c r="N311" i="3"/>
  <c r="O311" i="3" s="1"/>
  <c r="N247" i="3"/>
  <c r="O247" i="3" s="1"/>
  <c r="N15" i="3"/>
  <c r="O15" i="3" s="1"/>
  <c r="N154" i="3"/>
  <c r="O154" i="3" s="1"/>
  <c r="N58" i="3"/>
  <c r="O58" i="3" s="1"/>
  <c r="N187" i="3"/>
  <c r="O187" i="3" s="1"/>
  <c r="N86" i="3"/>
  <c r="O86" i="3" s="1"/>
  <c r="N46" i="3"/>
  <c r="O46" i="3" s="1"/>
  <c r="N136" i="3"/>
  <c r="O136" i="3" s="1"/>
  <c r="N288" i="3"/>
  <c r="O288" i="3" s="1"/>
  <c r="N225" i="3"/>
  <c r="O225" i="3" s="1"/>
  <c r="N129" i="3"/>
  <c r="O129" i="3" s="1"/>
  <c r="N71" i="3"/>
  <c r="O71" i="3" s="1"/>
  <c r="N232" i="3"/>
  <c r="O232" i="3" s="1"/>
  <c r="N74" i="3"/>
  <c r="O74" i="3" s="1"/>
  <c r="N157" i="3"/>
  <c r="O157" i="3" s="1"/>
  <c r="N61" i="3"/>
  <c r="O61" i="3" s="1"/>
  <c r="N132" i="3"/>
  <c r="O132" i="3" s="1"/>
  <c r="N298" i="3"/>
  <c r="O298" i="3" s="1"/>
  <c r="N234" i="3"/>
  <c r="O234" i="3" s="1"/>
  <c r="N36" i="3"/>
  <c r="O36" i="3" s="1"/>
  <c r="N309" i="3"/>
  <c r="O309" i="3" s="1"/>
  <c r="N261" i="3"/>
  <c r="O261" i="3" s="1"/>
  <c r="N155" i="3"/>
  <c r="O155" i="3" s="1"/>
  <c r="N222" i="3"/>
  <c r="O222" i="3" s="1"/>
  <c r="N126" i="3"/>
  <c r="O126" i="3" s="1"/>
  <c r="N30" i="3"/>
  <c r="O30" i="3" s="1"/>
  <c r="N295" i="3"/>
  <c r="O295" i="3" s="1"/>
  <c r="N231" i="3"/>
  <c r="O231" i="3" s="1"/>
  <c r="N226" i="3"/>
  <c r="O226" i="3" s="1"/>
  <c r="N130" i="3"/>
  <c r="O130" i="3" s="1"/>
  <c r="N34" i="3"/>
  <c r="O34" i="3" s="1"/>
  <c r="N115" i="3"/>
  <c r="O115" i="3" s="1"/>
  <c r="N62" i="3"/>
  <c r="O62" i="3" s="1"/>
  <c r="N323" i="3"/>
  <c r="O323" i="3" s="1"/>
  <c r="N40" i="3"/>
  <c r="O40" i="3" s="1"/>
  <c r="N272" i="3"/>
  <c r="O272" i="3" s="1"/>
  <c r="N201" i="3"/>
  <c r="O201" i="3" s="1"/>
  <c r="N31" i="3"/>
  <c r="O31" i="3" s="1"/>
  <c r="N180" i="3"/>
  <c r="O180" i="3" s="1"/>
  <c r="N194" i="3"/>
  <c r="O194" i="3" s="1"/>
  <c r="N229" i="3"/>
  <c r="O229" i="3" s="1"/>
  <c r="N133" i="3"/>
  <c r="O133" i="3" s="1"/>
  <c r="N37" i="3"/>
  <c r="O37" i="3" s="1"/>
  <c r="N65" i="3"/>
  <c r="O65" i="3" s="1"/>
  <c r="N282" i="3"/>
  <c r="O282" i="3" s="1"/>
  <c r="N171" i="3"/>
  <c r="O171" i="3" s="1"/>
  <c r="N69" i="3"/>
  <c r="O69" i="3" s="1"/>
  <c r="N305" i="3"/>
  <c r="O305" i="3" s="1"/>
  <c r="N257" i="3"/>
  <c r="O257" i="3" s="1"/>
  <c r="N131" i="3"/>
  <c r="O131" i="3" s="1"/>
  <c r="N217" i="3"/>
  <c r="O217" i="3" s="1"/>
  <c r="N121" i="3"/>
  <c r="O121" i="3" s="1"/>
  <c r="N25" i="3"/>
  <c r="O25" i="3" s="1"/>
  <c r="N290" i="3"/>
  <c r="O290" i="3" s="1"/>
  <c r="N207" i="3"/>
  <c r="O207" i="3" s="1"/>
  <c r="N221" i="3"/>
  <c r="O221" i="3" s="1"/>
  <c r="N125" i="3"/>
  <c r="O125" i="3" s="1"/>
  <c r="N29" i="3"/>
  <c r="O29" i="3" s="1"/>
  <c r="N91" i="3"/>
  <c r="O91" i="3" s="1"/>
  <c r="N57" i="3"/>
  <c r="O57" i="3" s="1"/>
  <c r="N302" i="3"/>
  <c r="O302" i="3" s="1"/>
  <c r="N26" i="3"/>
  <c r="O26" i="3" s="1"/>
  <c r="N267" i="3"/>
  <c r="O267" i="3" s="1"/>
  <c r="N196" i="3"/>
  <c r="O196" i="3" s="1"/>
  <c r="N243" i="3"/>
  <c r="O243" i="3" s="1"/>
  <c r="N108" i="3"/>
  <c r="O108" i="3" s="1"/>
  <c r="N189" i="3"/>
  <c r="O189" i="3" s="1"/>
  <c r="N224" i="3"/>
  <c r="O224" i="3" s="1"/>
  <c r="N128" i="3"/>
  <c r="O128" i="3" s="1"/>
  <c r="N32" i="3"/>
  <c r="O32" i="3" s="1"/>
  <c r="N199" i="3"/>
  <c r="O199" i="3" s="1"/>
  <c r="N276" i="3"/>
  <c r="O276" i="3" s="1"/>
  <c r="N147" i="3"/>
  <c r="O147" i="3" s="1"/>
  <c r="N151" i="3"/>
  <c r="O151" i="3" s="1"/>
  <c r="N301" i="3"/>
  <c r="O301" i="3" s="1"/>
  <c r="N253" i="3"/>
  <c r="O253" i="3" s="1"/>
  <c r="N107" i="3"/>
  <c r="O107" i="3" s="1"/>
  <c r="N212" i="3"/>
  <c r="O212" i="3" s="1"/>
  <c r="N116" i="3"/>
  <c r="O116" i="3" s="1"/>
  <c r="N20" i="3"/>
  <c r="O20" i="3" s="1"/>
  <c r="N284" i="3"/>
  <c r="O284" i="3" s="1"/>
  <c r="N183" i="3"/>
  <c r="O183" i="3" s="1"/>
  <c r="N216" i="3"/>
  <c r="O216" i="3" s="1"/>
  <c r="N120" i="3"/>
  <c r="O120" i="3" s="1"/>
  <c r="N24" i="3"/>
  <c r="O24" i="3" s="1"/>
  <c r="N67" i="3"/>
  <c r="O67" i="3" s="1"/>
  <c r="N52" i="3"/>
  <c r="O52" i="3" s="1"/>
  <c r="N280" i="3"/>
  <c r="O280" i="3" s="1"/>
  <c r="N326" i="3"/>
  <c r="O326" i="3" s="1"/>
  <c r="N262" i="3"/>
  <c r="O262" i="3" s="1"/>
  <c r="N182" i="3"/>
  <c r="O182" i="3" s="1"/>
  <c r="N331" i="3"/>
  <c r="O331" i="3" s="1"/>
  <c r="N22" i="3"/>
  <c r="O22" i="3" s="1"/>
  <c r="N170" i="3"/>
  <c r="O170" i="3" s="1"/>
  <c r="N210" i="3"/>
  <c r="O210" i="3" s="1"/>
  <c r="N114" i="3"/>
  <c r="O114" i="3" s="1"/>
  <c r="N18" i="3"/>
  <c r="O18" i="3" s="1"/>
  <c r="N12" i="3"/>
  <c r="O12" i="3" s="1"/>
  <c r="N271" i="3"/>
  <c r="O271" i="3" s="1"/>
  <c r="N123" i="3"/>
  <c r="O123" i="3" s="1"/>
  <c r="N264" i="3"/>
  <c r="O264" i="3" s="1"/>
  <c r="Q312" i="6"/>
  <c r="Q264" i="6"/>
  <c r="Q47" i="6"/>
  <c r="Q20" i="6"/>
  <c r="Q298" i="6"/>
  <c r="Q132" i="6"/>
  <c r="Q143" i="6"/>
  <c r="Q178" i="6"/>
  <c r="Q103" i="6"/>
  <c r="Q108" i="6"/>
  <c r="Q272" i="6"/>
  <c r="Q161" i="6"/>
  <c r="Q324" i="6"/>
  <c r="Q131" i="6"/>
  <c r="Q99" i="6"/>
  <c r="Q255" i="6"/>
  <c r="Q157" i="6"/>
  <c r="Q313" i="6"/>
  <c r="Q210" i="6"/>
  <c r="Q76" i="6"/>
  <c r="Q232" i="6"/>
  <c r="Q129" i="6"/>
  <c r="Q285" i="6"/>
  <c r="Q254" i="6"/>
  <c r="N89" i="3"/>
  <c r="O89" i="3" s="1"/>
  <c r="N213" i="3"/>
  <c r="O213" i="3" s="1"/>
  <c r="N278" i="3"/>
  <c r="O278" i="3" s="1"/>
  <c r="N139" i="3"/>
  <c r="O139" i="3" s="1"/>
  <c r="N236" i="3"/>
  <c r="O236" i="3" s="1"/>
  <c r="N122" i="3"/>
  <c r="O122" i="3" s="1"/>
  <c r="N269" i="3"/>
  <c r="O269" i="3" s="1"/>
  <c r="Q144" i="6"/>
  <c r="Q23" i="6"/>
  <c r="Q199" i="6"/>
  <c r="Q89" i="6"/>
  <c r="Q29" i="6"/>
  <c r="Q15" i="6"/>
  <c r="Q106" i="6"/>
  <c r="Q166" i="6"/>
  <c r="Q202" i="6"/>
  <c r="Q118" i="6"/>
  <c r="Q119" i="6"/>
  <c r="Q284" i="6"/>
  <c r="Q173" i="6"/>
  <c r="Q116" i="6"/>
  <c r="Q12" i="6"/>
  <c r="Q111" i="6"/>
  <c r="Q267" i="6"/>
  <c r="Q169" i="6"/>
  <c r="Q325" i="6"/>
  <c r="Q234" i="6"/>
  <c r="Q88" i="6"/>
  <c r="Q244" i="6"/>
  <c r="Q141" i="6"/>
  <c r="Q297" i="6"/>
  <c r="Q266" i="6"/>
  <c r="N118" i="3"/>
  <c r="O118" i="3" s="1"/>
  <c r="N218" i="3"/>
  <c r="O218" i="3" s="1"/>
  <c r="N283" i="3"/>
  <c r="O283" i="3" s="1"/>
  <c r="N163" i="3"/>
  <c r="O163" i="3" s="1"/>
  <c r="N242" i="3"/>
  <c r="O242" i="3" s="1"/>
  <c r="N312" i="3"/>
  <c r="O312" i="3" s="1"/>
  <c r="N215" i="4"/>
  <c r="O215" i="4" s="1"/>
  <c r="N282" i="4"/>
  <c r="O282" i="4" s="1"/>
  <c r="N24" i="4"/>
  <c r="O24" i="4" s="1"/>
  <c r="N60" i="4"/>
  <c r="O60" i="4" s="1"/>
  <c r="N96" i="4"/>
  <c r="O96" i="4" s="1"/>
  <c r="N155" i="4"/>
  <c r="O155" i="4" s="1"/>
  <c r="N227" i="4"/>
  <c r="O227" i="4" s="1"/>
  <c r="N318" i="4"/>
  <c r="O318" i="4" s="1"/>
  <c r="N152" i="4"/>
  <c r="O152" i="4" s="1"/>
  <c r="N224" i="4"/>
  <c r="O224" i="4" s="1"/>
  <c r="N16" i="4"/>
  <c r="O16" i="4" s="1"/>
  <c r="N52" i="4"/>
  <c r="O52" i="4" s="1"/>
  <c r="N88" i="4"/>
  <c r="O88" i="4" s="1"/>
  <c r="N138" i="4"/>
  <c r="O138" i="4" s="1"/>
  <c r="N210" i="4"/>
  <c r="O210" i="4" s="1"/>
  <c r="N294" i="4"/>
  <c r="O294" i="4" s="1"/>
  <c r="N324" i="4"/>
  <c r="O324" i="4" s="1"/>
</calcChain>
</file>

<file path=xl/sharedStrings.xml><?xml version="1.0" encoding="utf-8"?>
<sst xmlns="http://schemas.openxmlformats.org/spreadsheetml/2006/main" count="331" uniqueCount="204">
  <si>
    <t>FIRST-RUN BALANCING CONTROLS</t>
  </si>
  <si>
    <t>Generator</t>
  </si>
  <si>
    <t>Selected Level</t>
  </si>
  <si>
    <t>Base Cost</t>
  </si>
  <si>
    <t>Cost Scaling</t>
  </si>
  <si>
    <t>Base Heat/s</t>
  </si>
  <si>
    <t>Base Ash/s</t>
  </si>
  <si>
    <t>Base Matter/s</t>
  </si>
  <si>
    <t>Effective Heat Production</t>
  </si>
  <si>
    <t>Effective Ash Production</t>
  </si>
  <si>
    <t>Effective Matter Production</t>
  </si>
  <si>
    <t>Effective Heat Input</t>
  </si>
  <si>
    <t>Effective Ash Input</t>
  </si>
  <si>
    <t>Effective Cost</t>
  </si>
  <si>
    <t>Effective Cost Scaling</t>
  </si>
  <si>
    <t>Atomic Friction</t>
  </si>
  <si>
    <t>Molecular Agitation</t>
  </si>
  <si>
    <t>Lava Mite Colony</t>
  </si>
  <si>
    <t>Infernal Condensation</t>
  </si>
  <si>
    <t>Infernal Forge</t>
  </si>
  <si>
    <t>UPGRADE LEVEL INPUTS</t>
  </si>
  <si>
    <t>ID</t>
  </si>
  <si>
    <t>Upgrade</t>
  </si>
  <si>
    <t>Level</t>
  </si>
  <si>
    <t>Max</t>
  </si>
  <si>
    <t>Heat Prod Factor</t>
  </si>
  <si>
    <t>Ash Prod Factor</t>
  </si>
  <si>
    <t>Matter Prod Factor</t>
  </si>
  <si>
    <t>Heat Input Factor</t>
  </si>
  <si>
    <t>Ash Input Factor</t>
  </si>
  <si>
    <t>Cost Factor</t>
  </si>
  <si>
    <t>Cost Scaling Factor</t>
  </si>
  <si>
    <t>Notes</t>
  </si>
  <si>
    <t>atomic_friction_optimization</t>
  </si>
  <si>
    <t>Atomic Friction Optimization</t>
  </si>
  <si>
    <t>atomic_friction</t>
  </si>
  <si>
    <t>1.15x Heat production per level</t>
  </si>
  <si>
    <t>atomic_reorganization</t>
  </si>
  <si>
    <t>Atomic Reorganization</t>
  </si>
  <si>
    <t>1 + 0.008 × Atomic Friction level, per upgrade level</t>
  </si>
  <si>
    <t>atomic_friction_refinement</t>
  </si>
  <si>
    <t>Friction Refinement</t>
  </si>
  <si>
    <t>molecular_agitation</t>
  </si>
  <si>
    <t>Molecular Agitation (unlock)</t>
  </si>
  <si>
    <t>Unlock only</t>
  </si>
  <si>
    <t>efficient_atomic_processing</t>
  </si>
  <si>
    <t>Efficient Atomic Processing</t>
  </si>
  <si>
    <t>0.95x cost scaling and 0.2x cost per level</t>
  </si>
  <si>
    <t>atomic_mastery</t>
  </si>
  <si>
    <t>Atomic Mastery</t>
  </si>
  <si>
    <t>1.75x production and 0.5x cost per level</t>
  </si>
  <si>
    <t>atomic_process_optimization</t>
  </si>
  <si>
    <t>Atomic Process Optimization</t>
  </si>
  <si>
    <t>1.22x production and 0.78x cost per level</t>
  </si>
  <si>
    <t>crystallization_adaptation</t>
  </si>
  <si>
    <t>Crystallization Adaptation</t>
  </si>
  <si>
    <t>Not represented in this first static sheet</t>
  </si>
  <si>
    <t>contamination_adaptation</t>
  </si>
  <si>
    <t>Contamination Adaptation</t>
  </si>
  <si>
    <t>molecular_resonance</t>
  </si>
  <si>
    <t>Molecular Resonance</t>
  </si>
  <si>
    <t>resonant_containment</t>
  </si>
  <si>
    <t>Resonant Containment</t>
  </si>
  <si>
    <t>1.55x Heat production per level</t>
  </si>
  <si>
    <t>agitation_optimization</t>
  </si>
  <si>
    <t>Agitation Optimization</t>
  </si>
  <si>
    <t>0.97x cost scaling and 0.9x Ash production per level</t>
  </si>
  <si>
    <t>unlock_infernal_condensation</t>
  </si>
  <si>
    <t>Infernal Condensation (unlock)</t>
  </si>
  <si>
    <t>thermal_furnace</t>
  </si>
  <si>
    <t>molecular_agitation_refinement</t>
  </si>
  <si>
    <t>Agitation Refinement</t>
  </si>
  <si>
    <t>1.18x Heat production and 1.25x Ash production per level</t>
  </si>
  <si>
    <t>thermal_compressor_optimization</t>
  </si>
  <si>
    <t>Compression Optimization</t>
  </si>
  <si>
    <t>thermal_compressor</t>
  </si>
  <si>
    <t>Generator definition not supplied yet</t>
  </si>
  <si>
    <t>thermal_compressor_efficiency</t>
  </si>
  <si>
    <t>Pressure Efficiency</t>
  </si>
  <si>
    <t>high_pressure_compression</t>
  </si>
  <si>
    <t>High-Pressure Compression</t>
  </si>
  <si>
    <t>thermal_recovery</t>
  </si>
  <si>
    <t>Thermal Recovery</t>
  </si>
  <si>
    <t>thermal_furnace_optimization</t>
  </si>
  <si>
    <t>Infernal Condensation Optimization</t>
  </si>
  <si>
    <t>1.15x Matter output per level</t>
  </si>
  <si>
    <t>efficient_thermal_transfer</t>
  </si>
  <si>
    <t>Efficient Thermal Transfer</t>
  </si>
  <si>
    <t>0.8x Heat input per level</t>
  </si>
  <si>
    <t>thermal_furnace_refinement</t>
  </si>
  <si>
    <t>Condensation Refinement</t>
  </si>
  <si>
    <t>1.2x all output per level</t>
  </si>
  <si>
    <t>thermal_ash_filtration</t>
  </si>
  <si>
    <t>Ash Filtration</t>
  </si>
  <si>
    <t>0.70x Ash output</t>
  </si>
  <si>
    <t>thermal_furnace_mastery</t>
  </si>
  <si>
    <t>Infernal Condensation Mastery</t>
  </si>
  <si>
    <t>1 + 0.015 × generator level, per upgrade level</t>
  </si>
  <si>
    <t>thermal_furnace_efficiency</t>
  </si>
  <si>
    <t>Condensation Efficiency</t>
  </si>
  <si>
    <t>0.98x cost scaling</t>
  </si>
  <si>
    <t>thermal_purity</t>
  </si>
  <si>
    <t>Condensation Purity</t>
  </si>
  <si>
    <t>1.6x Matter output</t>
  </si>
  <si>
    <t>ashen_contamination</t>
  </si>
  <si>
    <t>Ashen Contamination</t>
  </si>
  <si>
    <t>GLOBAL</t>
  </si>
  <si>
    <t>Dynamic realm effect; not represented in this static generator sheet</t>
  </si>
  <si>
    <t>lava_mite_colony_unlock</t>
  </si>
  <si>
    <t>lava_mite_colony</t>
  </si>
  <si>
    <t>lava_mite_dormancy</t>
  </si>
  <si>
    <t>Natural Dormancy</t>
  </si>
  <si>
    <t>Time-dependent; not represented in static production</t>
  </si>
  <si>
    <t>essence_influence</t>
  </si>
  <si>
    <t>Essence Influence</t>
  </si>
  <si>
    <t>Requires Essence/resource simulation</t>
  </si>
  <si>
    <t>lava_mite_husbandry</t>
  </si>
  <si>
    <t>Lava Mite Husbandry</t>
  </si>
  <si>
    <t>0.9x generator level cost per level</t>
  </si>
  <si>
    <t>lava_mite_refinement</t>
  </si>
  <si>
    <t>Lava Mite Breeding</t>
  </si>
  <si>
    <t>1.15x Ash consumption per level</t>
  </si>
  <si>
    <t>lava_mite_adaptation</t>
  </si>
  <si>
    <t>Lava Mite Increa Adaptation</t>
  </si>
  <si>
    <t>Requires Ash/Heat state</t>
  </si>
  <si>
    <t>lava_mite_improved_adaptation</t>
  </si>
  <si>
    <t>Lava Mite Improved Adaptation</t>
  </si>
  <si>
    <t>lava_mite_essence</t>
  </si>
  <si>
    <t>Essence Extraction</t>
  </si>
  <si>
    <t>Unlock Essence output</t>
  </si>
  <si>
    <t>lava_mite_metabolism</t>
  </si>
  <si>
    <t>Lava Mite Metabolism</t>
  </si>
  <si>
    <t>0.9x Heat consumption per level</t>
  </si>
  <si>
    <t>lava_mite_colony_growth</t>
  </si>
  <si>
    <t>Colony Growth</t>
  </si>
  <si>
    <t>1.15x consumption per level</t>
  </si>
  <si>
    <t>lava_mite_dormancy_delay</t>
  </si>
  <si>
    <t>Extended Dormancy</t>
  </si>
  <si>
    <t>Time-dependent</t>
  </si>
  <si>
    <t>lava_mite_dormancy_conditioning</t>
  </si>
  <si>
    <t>Dormancy Conditioning</t>
  </si>
  <si>
    <t>improved_lava_mite_colony_management</t>
  </si>
  <si>
    <t>Improved Lava Mite Colony Management</t>
  </si>
  <si>
    <t>0.96x cost scaling</t>
  </si>
  <si>
    <t>lava_mite_dormancy_resilience</t>
  </si>
  <si>
    <t>Dormancy Resilience</t>
  </si>
  <si>
    <t>Upgrade levels are the editable yellow cells. Green cells are calculated effects.</t>
  </si>
  <si>
    <t>Dynamic generator-level effects are modeled as (1 + coefficient × generator level) ^ upgrade level.</t>
  </si>
  <si>
    <t>Dormancy, contamination, crystallization sensitivity and resource-state-dependent mite adaptation are deliberately not reduced to static multipliers here.</t>
  </si>
  <si>
    <t>Thermal Compressor and Matter Furnace definitions were not supplied in this pass, so their upgrades are listed but not connected.</t>
  </si>
  <si>
    <t>Base ratio</t>
  </si>
  <si>
    <t>1 ash costs 200 heat to remove</t>
  </si>
  <si>
    <t>1 matter costs 4500 heat</t>
  </si>
  <si>
    <t>AF</t>
  </si>
  <si>
    <t>MA</t>
  </si>
  <si>
    <t>MITES</t>
  </si>
  <si>
    <t>COND</t>
  </si>
  <si>
    <t>FURN</t>
  </si>
  <si>
    <t>Forge</t>
  </si>
  <si>
    <t>PRODUCTION</t>
  </si>
  <si>
    <t>Heat</t>
  </si>
  <si>
    <t>RATES PER SEC</t>
  </si>
  <si>
    <t>Ash</t>
  </si>
  <si>
    <t>Matter</t>
  </si>
  <si>
    <t>Essence</t>
  </si>
  <si>
    <t>COSTS</t>
  </si>
  <si>
    <t>res type</t>
  </si>
  <si>
    <t>base</t>
  </si>
  <si>
    <t>Heatnormalized</t>
  </si>
  <si>
    <t>scaling</t>
  </si>
  <si>
    <t xml:space="preserve">1 ash per 450 heat </t>
  </si>
  <si>
    <t>200 heat to remove 1 ash</t>
  </si>
  <si>
    <t>4000 heat makes 1 matter and 2,5 ash</t>
  </si>
  <si>
    <t xml:space="preserve">4500 H in M into 7500 H </t>
  </si>
  <si>
    <t>-200 in ash</t>
  </si>
  <si>
    <t>500 in ash</t>
  </si>
  <si>
    <t xml:space="preserve">FINAL </t>
  </si>
  <si>
    <t>3hps</t>
  </si>
  <si>
    <t>25hps</t>
  </si>
  <si>
    <t>1M = 4000+500 = 4500M</t>
  </si>
  <si>
    <t>4500 to 7000</t>
  </si>
  <si>
    <t>BALANCING LINK</t>
  </si>
  <si>
    <t>Selected generator level</t>
  </si>
  <si>
    <t>Effective Heat production factor</t>
  </si>
  <si>
    <t>Effective Ash production factor</t>
  </si>
  <si>
    <t>Name</t>
  </si>
  <si>
    <t>Effective Matter production factor</t>
  </si>
  <si>
    <t>Effective Heat input factor</t>
  </si>
  <si>
    <t>Scaling</t>
  </si>
  <si>
    <t>Effective Ash input factor</t>
  </si>
  <si>
    <t>Production rate normalized</t>
  </si>
  <si>
    <t>Effective level cost factor</t>
  </si>
  <si>
    <t>Effective cost scaling</t>
  </si>
  <si>
    <t>Next cost</t>
  </si>
  <si>
    <t>Total cost</t>
  </si>
  <si>
    <t>Production/s</t>
  </si>
  <si>
    <t>Time to buy next</t>
  </si>
  <si>
    <t>1 ash = -200heat</t>
  </si>
  <si>
    <t>HEAT</t>
  </si>
  <si>
    <t>Ash/s</t>
  </si>
  <si>
    <t>ASH</t>
  </si>
  <si>
    <t>Uses mol agi prod rates</t>
  </si>
  <si>
    <t>ESSENCE</t>
  </si>
  <si>
    <t>Matter/s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</si>
</sst>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k_r_-;\-* #,##0.00\ _k_r_-;_-* &quot;-&quot;??\ _k_r_-;_-@_-"/>
    <numFmt numFmtId="165" formatCode="_-* #,##0.00000\ _k_r_-;\-* #,##0.00000\ _k_r_-;_-* &quot;-&quot;??\ _k_r_-;_-@_-"/>
    <numFmt numFmtId="166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rgb="FFFFFFFF"/>
      <name val="Aptos Narrow"/>
    </font>
    <font>
      <b/>
      <sz val="11"/>
      <color rgb="FFFFFFFF"/>
      <name val="Aptos Narrow"/>
    </font>
    <font>
      <b/>
      <sz val="13"/>
      <name val="Aptos Narrow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222222"/>
      </patternFill>
    </fill>
    <fill>
      <patternFill patternType="solid">
        <fgColor rgb="FF444444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AAAAAA"/>
      </bottom>
      <diagonal/>
    </border>
  </borders>
  <cellStyleXfs count="2">
    <xf numFmtId="0" fontId="0" fillId="0" borderId="0"/>
    <xf numFmtId="43" fontId="1" fillId="0" borderId="0"/>
  </cellStyleXfs>
  <cellXfs count="26">
    <xf numFmtId="0" fontId="0" fillId="0" borderId="0" xfId="0"/>
    <xf numFmtId="0" fontId="3" fillId="0" borderId="1" xfId="0" applyFont="1" applyBorder="1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0" borderId="3" xfId="0" applyBorder="1"/>
    <xf numFmtId="43" fontId="0" fillId="0" borderId="0" xfId="1" applyFont="1"/>
    <xf numFmtId="0" fontId="3" fillId="0" borderId="4" xfId="0" applyFont="1" applyBorder="1"/>
    <xf numFmtId="0" fontId="3" fillId="0" borderId="2" xfId="0" applyFont="1" applyBorder="1"/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2" fillId="0" borderId="3" xfId="0" applyFont="1" applyBorder="1"/>
    <xf numFmtId="0" fontId="4" fillId="0" borderId="1" xfId="0" applyFont="1" applyBorder="1"/>
    <xf numFmtId="0" fontId="2" fillId="0" borderId="0" xfId="0" applyFont="1" applyAlignment="1">
      <alignment horizontal="right"/>
    </xf>
    <xf numFmtId="165" fontId="0" fillId="0" borderId="3" xfId="0" applyNumberFormat="1" applyBorder="1"/>
    <xf numFmtId="166" fontId="0" fillId="0" borderId="3" xfId="0" applyNumberFormat="1" applyBorder="1"/>
    <xf numFmtId="0" fontId="6" fillId="3" borderId="5" xfId="0" applyFont="1" applyFill="1" applyBorder="1"/>
    <xf numFmtId="0" fontId="0" fillId="4" borderId="0" xfId="0" applyFill="1"/>
    <xf numFmtId="0" fontId="0" fillId="5" borderId="0" xfId="0" applyFill="1"/>
    <xf numFmtId="0" fontId="6" fillId="3" borderId="0" xfId="0" applyFont="1" applyFill="1"/>
    <xf numFmtId="0" fontId="8" fillId="0" borderId="0" xfId="0" applyFont="1"/>
    <xf numFmtId="0" fontId="7" fillId="0" borderId="0" xfId="0" applyFont="1"/>
    <xf numFmtId="0" fontId="0" fillId="0" borderId="0" xfId="0"/>
    <xf numFmtId="0" fontId="5" fillId="2" borderId="0" xfId="0" applyFont="1" applyFill="1"/>
  </cellXfs>
  <cellStyles count="2">
    <cellStyle name="Normal" xfId="0" builtinId="0"/>
    <cellStyle name="Tusenta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workbookViewId="0">
      <pane ySplit="11" topLeftCell="A12" activePane="bottomLeft" state="frozen"/>
      <selection pane="bottomLeft" activeCell="C6" sqref="C6"/>
    </sheetView>
  </sheetViews>
  <sheetFormatPr defaultRowHeight="14.4" x14ac:dyDescent="0.3"/>
  <cols>
    <col min="1" max="1" width="30" customWidth="1"/>
    <col min="2" max="2" width="32" customWidth="1"/>
    <col min="3" max="3" width="24" customWidth="1"/>
    <col min="4" max="4" width="12" customWidth="1"/>
    <col min="5" max="5" width="10" customWidth="1"/>
    <col min="6" max="7" width="18" customWidth="1"/>
    <col min="8" max="8" width="20" customWidth="1"/>
    <col min="9" max="9" width="18" customWidth="1"/>
    <col min="10" max="10" width="20" customWidth="1"/>
    <col min="11" max="11" width="18" customWidth="1"/>
    <col min="12" max="12" width="20" customWidth="1"/>
    <col min="13" max="13" width="18" customWidth="1"/>
    <col min="14" max="14" width="20" customWidth="1"/>
  </cols>
  <sheetData>
    <row r="1" spans="1:14" ht="21" x14ac:dyDescent="0.4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3" spans="1:14" x14ac:dyDescent="0.3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8" t="s">
        <v>11</v>
      </c>
      <c r="L3" s="18" t="s">
        <v>12</v>
      </c>
      <c r="M3" s="18" t="s">
        <v>13</v>
      </c>
      <c r="N3" s="18" t="s">
        <v>14</v>
      </c>
    </row>
    <row r="4" spans="1:14" x14ac:dyDescent="0.3">
      <c r="A4" t="s">
        <v>15</v>
      </c>
      <c r="B4" s="19">
        <v>35</v>
      </c>
      <c r="C4">
        <v>15</v>
      </c>
      <c r="D4">
        <v>1.22</v>
      </c>
      <c r="E4">
        <v>3</v>
      </c>
      <c r="H4" s="20">
        <f t="shared" ref="H4:N4" si="0">F13*F14*F15*F17*F18*F19*F20*F21</f>
        <v>1.6927999999999999</v>
      </c>
      <c r="I4" s="20">
        <f t="shared" si="0"/>
        <v>1</v>
      </c>
      <c r="J4" s="20">
        <f t="shared" si="0"/>
        <v>1</v>
      </c>
      <c r="K4" s="20">
        <f t="shared" si="0"/>
        <v>1</v>
      </c>
      <c r="L4" s="20">
        <f t="shared" si="0"/>
        <v>1</v>
      </c>
      <c r="M4" s="20">
        <f t="shared" si="0"/>
        <v>1</v>
      </c>
      <c r="N4" s="20">
        <f t="shared" si="0"/>
        <v>1</v>
      </c>
    </row>
    <row r="5" spans="1:14" x14ac:dyDescent="0.3">
      <c r="A5" t="s">
        <v>16</v>
      </c>
      <c r="B5" s="19">
        <v>20</v>
      </c>
      <c r="C5">
        <v>250</v>
      </c>
      <c r="D5">
        <v>1.22</v>
      </c>
      <c r="E5">
        <v>45</v>
      </c>
      <c r="F5">
        <v>0.1</v>
      </c>
      <c r="H5" s="20">
        <f t="shared" ref="H5:N5" si="1">F16*F22*F23*F24*F26</f>
        <v>1</v>
      </c>
      <c r="I5" s="20">
        <f t="shared" si="1"/>
        <v>1</v>
      </c>
      <c r="J5" s="20">
        <f t="shared" si="1"/>
        <v>1</v>
      </c>
      <c r="K5" s="20">
        <f t="shared" si="1"/>
        <v>1</v>
      </c>
      <c r="L5" s="20">
        <f t="shared" si="1"/>
        <v>1</v>
      </c>
      <c r="M5" s="20">
        <f t="shared" si="1"/>
        <v>1</v>
      </c>
      <c r="N5" s="20">
        <f t="shared" si="1"/>
        <v>1</v>
      </c>
    </row>
    <row r="6" spans="1:14" x14ac:dyDescent="0.3">
      <c r="A6" t="s">
        <v>17</v>
      </c>
      <c r="B6" s="19">
        <v>10</v>
      </c>
      <c r="C6">
        <v>1000</v>
      </c>
      <c r="D6">
        <v>1.22</v>
      </c>
      <c r="E6">
        <v>-100</v>
      </c>
      <c r="F6">
        <v>-0.5</v>
      </c>
      <c r="G6">
        <v>5.0000000000000001E-4</v>
      </c>
      <c r="H6" s="20">
        <f t="shared" ref="H6:N6" si="2">F39*F40*F41*F42*F43*F44*F45*F46*F47*F48*F49*F50*F51*F52</f>
        <v>1</v>
      </c>
      <c r="I6" s="20">
        <f t="shared" si="2"/>
        <v>1</v>
      </c>
      <c r="J6" s="20">
        <f t="shared" si="2"/>
        <v>1</v>
      </c>
      <c r="K6" s="20">
        <f t="shared" si="2"/>
        <v>1</v>
      </c>
      <c r="L6" s="20">
        <f t="shared" si="2"/>
        <v>1</v>
      </c>
      <c r="M6" s="20">
        <f t="shared" si="2"/>
        <v>1</v>
      </c>
      <c r="N6" s="20">
        <f t="shared" si="2"/>
        <v>1</v>
      </c>
    </row>
    <row r="7" spans="1:14" x14ac:dyDescent="0.3">
      <c r="A7" t="s">
        <v>18</v>
      </c>
      <c r="B7" s="19">
        <v>5</v>
      </c>
      <c r="C7">
        <v>1000</v>
      </c>
      <c r="D7">
        <v>1.18</v>
      </c>
      <c r="E7">
        <v>-1000</v>
      </c>
      <c r="F7">
        <v>0.625</v>
      </c>
      <c r="G7">
        <v>0.25</v>
      </c>
      <c r="H7" s="20">
        <f t="shared" ref="H7:N7" si="3">F25*F31*F32*F33*F34*F35*F36*F37</f>
        <v>1</v>
      </c>
      <c r="I7" s="20">
        <f t="shared" si="3"/>
        <v>1</v>
      </c>
      <c r="J7" s="20">
        <f t="shared" si="3"/>
        <v>1</v>
      </c>
      <c r="K7" s="20">
        <f t="shared" si="3"/>
        <v>1</v>
      </c>
      <c r="L7" s="20">
        <f t="shared" si="3"/>
        <v>1</v>
      </c>
      <c r="M7" s="20">
        <f t="shared" si="3"/>
        <v>1</v>
      </c>
      <c r="N7" s="20">
        <f t="shared" si="3"/>
        <v>1</v>
      </c>
    </row>
    <row r="8" spans="1:14" x14ac:dyDescent="0.3">
      <c r="A8" t="s">
        <v>19</v>
      </c>
      <c r="B8" s="19">
        <v>0</v>
      </c>
      <c r="C8">
        <v>1000000</v>
      </c>
      <c r="D8">
        <v>2</v>
      </c>
      <c r="F8">
        <v>5</v>
      </c>
      <c r="G8">
        <v>4.5</v>
      </c>
      <c r="H8" s="20">
        <f>1</f>
        <v>1</v>
      </c>
      <c r="I8" s="20">
        <f>1</f>
        <v>1</v>
      </c>
      <c r="J8" s="20">
        <f>1</f>
        <v>1</v>
      </c>
      <c r="K8" s="20">
        <f>1</f>
        <v>1</v>
      </c>
      <c r="L8" s="20">
        <f>1</f>
        <v>1</v>
      </c>
      <c r="M8" s="20">
        <f>1</f>
        <v>1</v>
      </c>
      <c r="N8" s="20">
        <f>1</f>
        <v>1</v>
      </c>
    </row>
    <row r="11" spans="1:14" ht="17.399999999999999" x14ac:dyDescent="0.35">
      <c r="A11" s="23" t="s">
        <v>20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spans="1:14" x14ac:dyDescent="0.3">
      <c r="A12" s="21" t="s">
        <v>21</v>
      </c>
      <c r="B12" s="21" t="s">
        <v>22</v>
      </c>
      <c r="C12" s="21" t="s">
        <v>1</v>
      </c>
      <c r="D12" s="21" t="s">
        <v>23</v>
      </c>
      <c r="E12" s="21" t="s">
        <v>24</v>
      </c>
      <c r="F12" s="21" t="s">
        <v>25</v>
      </c>
      <c r="G12" s="21" t="s">
        <v>26</v>
      </c>
      <c r="H12" s="21" t="s">
        <v>27</v>
      </c>
      <c r="I12" s="21" t="s">
        <v>28</v>
      </c>
      <c r="J12" s="21" t="s">
        <v>29</v>
      </c>
      <c r="K12" s="21" t="s">
        <v>30</v>
      </c>
      <c r="L12" s="21" t="s">
        <v>31</v>
      </c>
      <c r="M12" s="21" t="s">
        <v>32</v>
      </c>
    </row>
    <row r="13" spans="1:14" x14ac:dyDescent="0.3">
      <c r="A13" t="s">
        <v>33</v>
      </c>
      <c r="B13" t="s">
        <v>34</v>
      </c>
      <c r="C13" t="s">
        <v>35</v>
      </c>
      <c r="D13" s="19">
        <v>1</v>
      </c>
      <c r="E13" s="20">
        <v>10</v>
      </c>
      <c r="F13" s="20">
        <f>1.15^D13</f>
        <v>1.1499999999999999</v>
      </c>
      <c r="G13" s="20">
        <v>1</v>
      </c>
      <c r="H13" s="20">
        <v>1</v>
      </c>
      <c r="I13" s="20">
        <v>1</v>
      </c>
      <c r="J13" s="20">
        <v>1</v>
      </c>
      <c r="K13" s="20">
        <v>1</v>
      </c>
      <c r="L13" s="20">
        <v>1</v>
      </c>
      <c r="M13" t="s">
        <v>36</v>
      </c>
    </row>
    <row r="14" spans="1:14" x14ac:dyDescent="0.3">
      <c r="A14" t="s">
        <v>37</v>
      </c>
      <c r="B14" t="s">
        <v>38</v>
      </c>
      <c r="C14" t="s">
        <v>35</v>
      </c>
      <c r="D14" s="19">
        <v>1</v>
      </c>
      <c r="E14" s="20">
        <v>3</v>
      </c>
      <c r="F14" s="20">
        <f>(1+0.008*B4)^D14</f>
        <v>1.28</v>
      </c>
      <c r="G14" s="20">
        <v>1</v>
      </c>
      <c r="H14" s="20">
        <v>1</v>
      </c>
      <c r="I14" s="20">
        <v>1</v>
      </c>
      <c r="J14" s="20">
        <v>1</v>
      </c>
      <c r="K14" s="20">
        <v>1</v>
      </c>
      <c r="L14" s="20">
        <v>1</v>
      </c>
      <c r="M14" t="s">
        <v>39</v>
      </c>
    </row>
    <row r="15" spans="1:14" x14ac:dyDescent="0.3">
      <c r="A15" t="s">
        <v>40</v>
      </c>
      <c r="B15" t="s">
        <v>41</v>
      </c>
      <c r="C15" t="s">
        <v>35</v>
      </c>
      <c r="D15" s="19">
        <v>1</v>
      </c>
      <c r="E15" s="20">
        <v>5</v>
      </c>
      <c r="F15" s="20">
        <f>1.15^D15</f>
        <v>1.1499999999999999</v>
      </c>
      <c r="G15" s="20">
        <v>1</v>
      </c>
      <c r="H15" s="20">
        <v>1</v>
      </c>
      <c r="I15" s="20">
        <v>1</v>
      </c>
      <c r="J15" s="20">
        <v>1</v>
      </c>
      <c r="K15" s="20">
        <v>1</v>
      </c>
      <c r="L15" s="20">
        <v>1</v>
      </c>
      <c r="M15" t="s">
        <v>36</v>
      </c>
    </row>
    <row r="16" spans="1:14" x14ac:dyDescent="0.3">
      <c r="A16" t="s">
        <v>42</v>
      </c>
      <c r="B16" t="s">
        <v>43</v>
      </c>
      <c r="C16" t="s">
        <v>42</v>
      </c>
      <c r="D16" s="19">
        <v>0</v>
      </c>
      <c r="E16" s="20">
        <v>1</v>
      </c>
      <c r="F16" s="20">
        <v>1</v>
      </c>
      <c r="G16" s="20">
        <v>1</v>
      </c>
      <c r="H16" s="20">
        <v>1</v>
      </c>
      <c r="I16" s="20">
        <v>1</v>
      </c>
      <c r="J16" s="20">
        <v>1</v>
      </c>
      <c r="K16" s="20">
        <v>1</v>
      </c>
      <c r="L16" s="20">
        <v>1</v>
      </c>
      <c r="M16" t="s">
        <v>44</v>
      </c>
    </row>
    <row r="17" spans="1:13" x14ac:dyDescent="0.3">
      <c r="A17" t="s">
        <v>45</v>
      </c>
      <c r="B17" t="s">
        <v>46</v>
      </c>
      <c r="C17" t="s">
        <v>35</v>
      </c>
      <c r="D17" s="19">
        <v>0</v>
      </c>
      <c r="E17" s="20">
        <v>1</v>
      </c>
      <c r="F17" s="20">
        <v>1</v>
      </c>
      <c r="G17" s="20">
        <v>1</v>
      </c>
      <c r="H17" s="20">
        <v>1</v>
      </c>
      <c r="I17" s="20">
        <v>1</v>
      </c>
      <c r="J17" s="20">
        <v>1</v>
      </c>
      <c r="K17" s="20">
        <f>0.2^D17</f>
        <v>1</v>
      </c>
      <c r="L17" s="20">
        <f>0.95^D17</f>
        <v>1</v>
      </c>
      <c r="M17" t="s">
        <v>47</v>
      </c>
    </row>
    <row r="18" spans="1:13" x14ac:dyDescent="0.3">
      <c r="A18" t="s">
        <v>48</v>
      </c>
      <c r="B18" t="s">
        <v>49</v>
      </c>
      <c r="C18" t="s">
        <v>35</v>
      </c>
      <c r="D18" s="19">
        <v>0</v>
      </c>
      <c r="E18" s="20">
        <v>3</v>
      </c>
      <c r="F18" s="20">
        <f>1.75^D18</f>
        <v>1</v>
      </c>
      <c r="G18" s="20">
        <v>1</v>
      </c>
      <c r="H18" s="20">
        <v>1</v>
      </c>
      <c r="I18" s="20">
        <v>1</v>
      </c>
      <c r="J18" s="20">
        <v>1</v>
      </c>
      <c r="K18" s="20">
        <f>0.5^D18</f>
        <v>1</v>
      </c>
      <c r="L18" s="20">
        <v>1</v>
      </c>
      <c r="M18" t="s">
        <v>50</v>
      </c>
    </row>
    <row r="19" spans="1:13" x14ac:dyDescent="0.3">
      <c r="A19" t="s">
        <v>51</v>
      </c>
      <c r="B19" t="s">
        <v>52</v>
      </c>
      <c r="C19" t="s">
        <v>35</v>
      </c>
      <c r="D19" s="19">
        <v>0</v>
      </c>
      <c r="E19" s="20">
        <v>5</v>
      </c>
      <c r="F19" s="20">
        <f>1.22^D17</f>
        <v>1</v>
      </c>
      <c r="G19" s="20">
        <v>1</v>
      </c>
      <c r="H19" s="20">
        <v>1</v>
      </c>
      <c r="I19" s="20">
        <v>1</v>
      </c>
      <c r="J19" s="20">
        <v>1</v>
      </c>
      <c r="K19" s="20">
        <f>0.78^D17</f>
        <v>1</v>
      </c>
      <c r="L19" s="20">
        <v>1</v>
      </c>
      <c r="M19" t="s">
        <v>53</v>
      </c>
    </row>
    <row r="20" spans="1:13" x14ac:dyDescent="0.3">
      <c r="A20" t="s">
        <v>54</v>
      </c>
      <c r="B20" t="s">
        <v>55</v>
      </c>
      <c r="C20" t="s">
        <v>35</v>
      </c>
      <c r="D20" s="19">
        <v>0</v>
      </c>
      <c r="E20" s="20">
        <v>1</v>
      </c>
      <c r="F20" s="20">
        <v>1</v>
      </c>
      <c r="G20" s="20">
        <v>1</v>
      </c>
      <c r="H20" s="20">
        <v>1</v>
      </c>
      <c r="I20" s="20">
        <v>1</v>
      </c>
      <c r="J20" s="20">
        <v>1</v>
      </c>
      <c r="K20" s="20">
        <v>1</v>
      </c>
      <c r="L20" s="20">
        <v>1</v>
      </c>
      <c r="M20" t="s">
        <v>56</v>
      </c>
    </row>
    <row r="21" spans="1:13" x14ac:dyDescent="0.3">
      <c r="A21" t="s">
        <v>57</v>
      </c>
      <c r="B21" t="s">
        <v>58</v>
      </c>
      <c r="C21" t="s">
        <v>35</v>
      </c>
      <c r="D21" s="19">
        <v>0</v>
      </c>
      <c r="E21" s="20">
        <v>1</v>
      </c>
      <c r="F21" s="20">
        <v>1</v>
      </c>
      <c r="G21" s="20">
        <v>1</v>
      </c>
      <c r="H21" s="20">
        <v>1</v>
      </c>
      <c r="I21" s="20">
        <v>1</v>
      </c>
      <c r="J21" s="20">
        <v>1</v>
      </c>
      <c r="K21" s="20">
        <v>1</v>
      </c>
      <c r="L21" s="20">
        <v>1</v>
      </c>
      <c r="M21" t="s">
        <v>56</v>
      </c>
    </row>
    <row r="22" spans="1:13" x14ac:dyDescent="0.3">
      <c r="A22" t="s">
        <v>59</v>
      </c>
      <c r="B22" t="s">
        <v>60</v>
      </c>
      <c r="C22" t="s">
        <v>42</v>
      </c>
      <c r="D22" s="19">
        <v>0</v>
      </c>
      <c r="E22" s="20">
        <v>10</v>
      </c>
      <c r="F22" s="20">
        <f>1.15^D22</f>
        <v>1</v>
      </c>
      <c r="G22" s="20">
        <v>1</v>
      </c>
      <c r="H22" s="20">
        <v>1</v>
      </c>
      <c r="I22" s="20">
        <v>1</v>
      </c>
      <c r="J22" s="20">
        <v>1</v>
      </c>
      <c r="K22" s="20">
        <v>1</v>
      </c>
      <c r="L22" s="20">
        <v>1</v>
      </c>
      <c r="M22" t="s">
        <v>36</v>
      </c>
    </row>
    <row r="23" spans="1:13" x14ac:dyDescent="0.3">
      <c r="A23" t="s">
        <v>61</v>
      </c>
      <c r="B23" t="s">
        <v>62</v>
      </c>
      <c r="C23" t="s">
        <v>42</v>
      </c>
      <c r="D23" s="19">
        <v>0</v>
      </c>
      <c r="E23" s="20">
        <v>3</v>
      </c>
      <c r="F23" s="20">
        <f>1.55^D23</f>
        <v>1</v>
      </c>
      <c r="G23" s="20">
        <v>1</v>
      </c>
      <c r="H23" s="20">
        <v>1</v>
      </c>
      <c r="I23" s="20">
        <v>1</v>
      </c>
      <c r="J23" s="20">
        <v>1</v>
      </c>
      <c r="K23" s="20">
        <v>1</v>
      </c>
      <c r="L23" s="20">
        <v>1</v>
      </c>
      <c r="M23" t="s">
        <v>63</v>
      </c>
    </row>
    <row r="24" spans="1:13" x14ac:dyDescent="0.3">
      <c r="A24" t="s">
        <v>64</v>
      </c>
      <c r="B24" t="s">
        <v>65</v>
      </c>
      <c r="C24" t="s">
        <v>42</v>
      </c>
      <c r="D24" s="19">
        <v>0</v>
      </c>
      <c r="E24" s="20">
        <v>3</v>
      </c>
      <c r="F24" s="20">
        <v>1</v>
      </c>
      <c r="G24" s="20">
        <f>0.9^D24</f>
        <v>1</v>
      </c>
      <c r="H24" s="20">
        <v>1</v>
      </c>
      <c r="I24" s="20">
        <v>1</v>
      </c>
      <c r="J24" s="20">
        <v>1</v>
      </c>
      <c r="K24" s="20">
        <v>1</v>
      </c>
      <c r="L24" s="20">
        <f>0.97^D24</f>
        <v>1</v>
      </c>
      <c r="M24" t="s">
        <v>66</v>
      </c>
    </row>
    <row r="25" spans="1:13" x14ac:dyDescent="0.3">
      <c r="A25" t="s">
        <v>67</v>
      </c>
      <c r="B25" t="s">
        <v>68</v>
      </c>
      <c r="C25" t="s">
        <v>69</v>
      </c>
      <c r="D25" s="19">
        <v>0</v>
      </c>
      <c r="E25" s="20">
        <v>1</v>
      </c>
      <c r="F25" s="20">
        <v>1</v>
      </c>
      <c r="G25" s="20">
        <v>1</v>
      </c>
      <c r="H25" s="20">
        <v>1</v>
      </c>
      <c r="I25" s="20">
        <v>1</v>
      </c>
      <c r="J25" s="20">
        <v>1</v>
      </c>
      <c r="K25" s="20">
        <v>1</v>
      </c>
      <c r="L25" s="20">
        <v>1</v>
      </c>
      <c r="M25" t="s">
        <v>44</v>
      </c>
    </row>
    <row r="26" spans="1:13" x14ac:dyDescent="0.3">
      <c r="A26" t="s">
        <v>70</v>
      </c>
      <c r="B26" t="s">
        <v>71</v>
      </c>
      <c r="C26" t="s">
        <v>42</v>
      </c>
      <c r="D26" s="19">
        <v>0</v>
      </c>
      <c r="E26" s="20">
        <v>10</v>
      </c>
      <c r="F26" s="20">
        <f>1.18^D26</f>
        <v>1</v>
      </c>
      <c r="G26" s="20">
        <f>1.25^D26</f>
        <v>1</v>
      </c>
      <c r="H26" s="20">
        <v>1</v>
      </c>
      <c r="I26" s="20">
        <v>1</v>
      </c>
      <c r="J26" s="20">
        <v>1</v>
      </c>
      <c r="K26" s="20">
        <v>1</v>
      </c>
      <c r="L26" s="20">
        <v>1</v>
      </c>
      <c r="M26" t="s">
        <v>72</v>
      </c>
    </row>
    <row r="27" spans="1:13" x14ac:dyDescent="0.3">
      <c r="A27" t="s">
        <v>73</v>
      </c>
      <c r="B27" t="s">
        <v>74</v>
      </c>
      <c r="C27" t="s">
        <v>75</v>
      </c>
      <c r="D27" s="19">
        <v>0</v>
      </c>
      <c r="E27" s="20">
        <v>10</v>
      </c>
      <c r="F27" s="20">
        <v>1</v>
      </c>
      <c r="G27" s="20">
        <v>1</v>
      </c>
      <c r="H27" s="20">
        <v>1</v>
      </c>
      <c r="I27" s="20">
        <v>1</v>
      </c>
      <c r="J27" s="20">
        <v>1</v>
      </c>
      <c r="K27" s="20">
        <v>1</v>
      </c>
      <c r="L27" s="20">
        <v>1</v>
      </c>
      <c r="M27" t="s">
        <v>76</v>
      </c>
    </row>
    <row r="28" spans="1:13" x14ac:dyDescent="0.3">
      <c r="A28" t="s">
        <v>77</v>
      </c>
      <c r="B28" t="s">
        <v>78</v>
      </c>
      <c r="C28" t="s">
        <v>75</v>
      </c>
      <c r="D28" s="19">
        <v>0</v>
      </c>
      <c r="E28" s="20">
        <v>5</v>
      </c>
      <c r="F28" s="20">
        <v>1</v>
      </c>
      <c r="G28" s="20">
        <v>1</v>
      </c>
      <c r="H28" s="20">
        <v>1</v>
      </c>
      <c r="I28" s="20">
        <v>1</v>
      </c>
      <c r="J28" s="20">
        <v>1</v>
      </c>
      <c r="K28" s="20">
        <v>1</v>
      </c>
      <c r="L28" s="20">
        <v>1</v>
      </c>
      <c r="M28" t="s">
        <v>76</v>
      </c>
    </row>
    <row r="29" spans="1:13" x14ac:dyDescent="0.3">
      <c r="A29" t="s">
        <v>79</v>
      </c>
      <c r="B29" t="s">
        <v>80</v>
      </c>
      <c r="C29" t="s">
        <v>75</v>
      </c>
      <c r="D29" s="19">
        <v>0</v>
      </c>
      <c r="E29" s="20">
        <v>1</v>
      </c>
      <c r="F29" s="20">
        <v>1</v>
      </c>
      <c r="G29" s="20">
        <v>1</v>
      </c>
      <c r="H29" s="20">
        <v>1</v>
      </c>
      <c r="I29" s="20">
        <v>1</v>
      </c>
      <c r="J29" s="20">
        <v>1</v>
      </c>
      <c r="K29" s="20">
        <v>1</v>
      </c>
      <c r="L29" s="20">
        <v>1</v>
      </c>
      <c r="M29" t="s">
        <v>76</v>
      </c>
    </row>
    <row r="30" spans="1:13" x14ac:dyDescent="0.3">
      <c r="A30" t="s">
        <v>81</v>
      </c>
      <c r="B30" t="s">
        <v>82</v>
      </c>
      <c r="C30" t="s">
        <v>75</v>
      </c>
      <c r="D30" s="19">
        <v>0</v>
      </c>
      <c r="E30" s="20">
        <v>1</v>
      </c>
      <c r="F30" s="20">
        <v>1</v>
      </c>
      <c r="G30" s="20">
        <v>1</v>
      </c>
      <c r="H30" s="20">
        <v>1</v>
      </c>
      <c r="I30" s="20">
        <v>1</v>
      </c>
      <c r="J30" s="20">
        <v>1</v>
      </c>
      <c r="K30" s="20">
        <v>1</v>
      </c>
      <c r="L30" s="20">
        <v>1</v>
      </c>
      <c r="M30" t="s">
        <v>76</v>
      </c>
    </row>
    <row r="31" spans="1:13" x14ac:dyDescent="0.3">
      <c r="A31" t="s">
        <v>83</v>
      </c>
      <c r="B31" t="s">
        <v>84</v>
      </c>
      <c r="C31" t="s">
        <v>69</v>
      </c>
      <c r="D31" s="19">
        <v>0</v>
      </c>
      <c r="E31" s="20">
        <v>10</v>
      </c>
      <c r="F31" s="20">
        <v>1</v>
      </c>
      <c r="G31" s="20">
        <v>1</v>
      </c>
      <c r="H31" s="20">
        <f>1.15^D31</f>
        <v>1</v>
      </c>
      <c r="I31" s="20">
        <v>1</v>
      </c>
      <c r="J31" s="20">
        <v>1</v>
      </c>
      <c r="K31" s="20">
        <v>1</v>
      </c>
      <c r="L31" s="20">
        <v>1</v>
      </c>
      <c r="M31" t="s">
        <v>85</v>
      </c>
    </row>
    <row r="32" spans="1:13" x14ac:dyDescent="0.3">
      <c r="A32" t="s">
        <v>86</v>
      </c>
      <c r="B32" t="s">
        <v>87</v>
      </c>
      <c r="C32" t="s">
        <v>69</v>
      </c>
      <c r="D32" s="19">
        <v>0</v>
      </c>
      <c r="E32" s="20">
        <v>3</v>
      </c>
      <c r="F32" s="20">
        <v>1</v>
      </c>
      <c r="G32" s="20">
        <v>1</v>
      </c>
      <c r="H32" s="20">
        <v>1</v>
      </c>
      <c r="I32" s="20">
        <f>0.8^D32</f>
        <v>1</v>
      </c>
      <c r="J32" s="20">
        <v>1</v>
      </c>
      <c r="K32" s="20">
        <v>1</v>
      </c>
      <c r="L32" s="20">
        <v>1</v>
      </c>
      <c r="M32" t="s">
        <v>88</v>
      </c>
    </row>
    <row r="33" spans="1:13" x14ac:dyDescent="0.3">
      <c r="A33" t="s">
        <v>89</v>
      </c>
      <c r="B33" t="s">
        <v>90</v>
      </c>
      <c r="C33" t="s">
        <v>69</v>
      </c>
      <c r="D33" s="19">
        <v>0</v>
      </c>
      <c r="E33" s="20">
        <v>5</v>
      </c>
      <c r="F33" s="20">
        <f>1.2^D33</f>
        <v>1</v>
      </c>
      <c r="G33" s="20">
        <f>1.2^D33</f>
        <v>1</v>
      </c>
      <c r="H33" s="20">
        <f>1.2^D33</f>
        <v>1</v>
      </c>
      <c r="I33" s="20">
        <v>1</v>
      </c>
      <c r="J33" s="20">
        <v>1</v>
      </c>
      <c r="K33" s="20">
        <v>1</v>
      </c>
      <c r="L33" s="20">
        <v>1</v>
      </c>
      <c r="M33" t="s">
        <v>91</v>
      </c>
    </row>
    <row r="34" spans="1:13" x14ac:dyDescent="0.3">
      <c r="A34" t="s">
        <v>92</v>
      </c>
      <c r="B34" t="s">
        <v>93</v>
      </c>
      <c r="C34" t="s">
        <v>69</v>
      </c>
      <c r="D34" s="19">
        <v>0</v>
      </c>
      <c r="E34" s="20">
        <v>1</v>
      </c>
      <c r="F34" s="20">
        <v>1</v>
      </c>
      <c r="G34" s="20">
        <f>0.7^D34</f>
        <v>1</v>
      </c>
      <c r="H34" s="20">
        <v>1</v>
      </c>
      <c r="I34" s="20">
        <v>1</v>
      </c>
      <c r="J34" s="20">
        <v>1</v>
      </c>
      <c r="K34" s="20">
        <v>1</v>
      </c>
      <c r="L34" s="20">
        <v>1</v>
      </c>
      <c r="M34" t="s">
        <v>94</v>
      </c>
    </row>
    <row r="35" spans="1:13" x14ac:dyDescent="0.3">
      <c r="A35" t="s">
        <v>95</v>
      </c>
      <c r="B35" t="s">
        <v>96</v>
      </c>
      <c r="C35" t="s">
        <v>69</v>
      </c>
      <c r="D35" s="19">
        <v>0</v>
      </c>
      <c r="E35" s="20">
        <v>1</v>
      </c>
      <c r="F35" s="20">
        <f>(1+0.015*B7)^D35</f>
        <v>1</v>
      </c>
      <c r="G35" s="20">
        <f>(1+0.015*B7)^D35</f>
        <v>1</v>
      </c>
      <c r="H35" s="20">
        <f>(1+0.015*B7)^D35</f>
        <v>1</v>
      </c>
      <c r="I35" s="20">
        <v>1</v>
      </c>
      <c r="J35" s="20">
        <v>1</v>
      </c>
      <c r="K35" s="20">
        <v>1</v>
      </c>
      <c r="L35" s="20">
        <v>1</v>
      </c>
      <c r="M35" t="s">
        <v>97</v>
      </c>
    </row>
    <row r="36" spans="1:13" x14ac:dyDescent="0.3">
      <c r="A36" t="s">
        <v>98</v>
      </c>
      <c r="B36" t="s">
        <v>99</v>
      </c>
      <c r="C36" t="s">
        <v>69</v>
      </c>
      <c r="D36" s="19">
        <v>0</v>
      </c>
      <c r="E36" s="20">
        <v>1</v>
      </c>
      <c r="F36" s="20">
        <v>1</v>
      </c>
      <c r="G36" s="20">
        <v>1</v>
      </c>
      <c r="H36" s="20">
        <v>1</v>
      </c>
      <c r="I36" s="20">
        <v>1</v>
      </c>
      <c r="J36" s="20">
        <v>1</v>
      </c>
      <c r="K36" s="20">
        <f>1</f>
        <v>1</v>
      </c>
      <c r="L36" s="20">
        <f>1</f>
        <v>1</v>
      </c>
      <c r="M36" t="s">
        <v>100</v>
      </c>
    </row>
    <row r="37" spans="1:13" x14ac:dyDescent="0.3">
      <c r="A37" t="s">
        <v>101</v>
      </c>
      <c r="B37" t="s">
        <v>102</v>
      </c>
      <c r="C37" t="s">
        <v>69</v>
      </c>
      <c r="D37" s="19">
        <v>0</v>
      </c>
      <c r="E37" s="20">
        <v>1</v>
      </c>
      <c r="F37" s="20">
        <v>1</v>
      </c>
      <c r="G37" s="20">
        <v>1</v>
      </c>
      <c r="H37" s="20">
        <f>1.6^D37</f>
        <v>1</v>
      </c>
      <c r="I37" s="20">
        <v>1</v>
      </c>
      <c r="J37" s="20">
        <v>1</v>
      </c>
      <c r="K37" s="20">
        <v>1</v>
      </c>
      <c r="L37" s="20">
        <v>1</v>
      </c>
      <c r="M37" t="s">
        <v>103</v>
      </c>
    </row>
    <row r="38" spans="1:13" x14ac:dyDescent="0.3">
      <c r="A38" t="s">
        <v>104</v>
      </c>
      <c r="B38" t="s">
        <v>105</v>
      </c>
      <c r="C38" t="s">
        <v>106</v>
      </c>
      <c r="D38" s="19">
        <v>0</v>
      </c>
      <c r="E38" s="20">
        <v>1</v>
      </c>
      <c r="F38" s="20">
        <v>1</v>
      </c>
      <c r="G38" s="20">
        <v>1</v>
      </c>
      <c r="H38" s="20">
        <v>1</v>
      </c>
      <c r="I38" s="20">
        <v>1</v>
      </c>
      <c r="J38" s="20">
        <v>1</v>
      </c>
      <c r="K38" s="20">
        <v>1</v>
      </c>
      <c r="L38" s="20">
        <v>1</v>
      </c>
      <c r="M38" t="s">
        <v>107</v>
      </c>
    </row>
    <row r="39" spans="1:13" x14ac:dyDescent="0.3">
      <c r="A39" t="s">
        <v>108</v>
      </c>
      <c r="B39" t="s">
        <v>17</v>
      </c>
      <c r="C39" t="s">
        <v>109</v>
      </c>
      <c r="D39" s="19">
        <v>0</v>
      </c>
      <c r="E39" s="20">
        <v>1</v>
      </c>
      <c r="F39" s="20">
        <v>1</v>
      </c>
      <c r="G39" s="20">
        <v>1</v>
      </c>
      <c r="H39" s="20">
        <v>1</v>
      </c>
      <c r="I39" s="20">
        <v>1</v>
      </c>
      <c r="J39" s="20">
        <v>1</v>
      </c>
      <c r="K39" s="20">
        <v>1</v>
      </c>
      <c r="L39" s="20">
        <v>1</v>
      </c>
      <c r="M39" t="s">
        <v>44</v>
      </c>
    </row>
    <row r="40" spans="1:13" x14ac:dyDescent="0.3">
      <c r="A40" t="s">
        <v>110</v>
      </c>
      <c r="B40" t="s">
        <v>111</v>
      </c>
      <c r="C40" t="s">
        <v>109</v>
      </c>
      <c r="D40" s="19">
        <v>0</v>
      </c>
      <c r="E40" s="20">
        <v>1</v>
      </c>
      <c r="F40" s="20">
        <v>1</v>
      </c>
      <c r="G40" s="20">
        <v>1</v>
      </c>
      <c r="H40" s="20">
        <v>1</v>
      </c>
      <c r="I40" s="20">
        <v>1</v>
      </c>
      <c r="J40" s="20">
        <v>1</v>
      </c>
      <c r="K40" s="20">
        <v>1</v>
      </c>
      <c r="L40" s="20">
        <v>1</v>
      </c>
      <c r="M40" t="s">
        <v>112</v>
      </c>
    </row>
    <row r="41" spans="1:13" x14ac:dyDescent="0.3">
      <c r="A41" t="s">
        <v>113</v>
      </c>
      <c r="B41" t="s">
        <v>114</v>
      </c>
      <c r="C41" t="s">
        <v>109</v>
      </c>
      <c r="D41" s="19">
        <v>0</v>
      </c>
      <c r="E41" s="20">
        <v>1</v>
      </c>
      <c r="F41" s="20">
        <v>1</v>
      </c>
      <c r="G41" s="20">
        <v>1</v>
      </c>
      <c r="H41" s="20">
        <v>1</v>
      </c>
      <c r="I41" s="20">
        <v>1</v>
      </c>
      <c r="J41" s="20">
        <v>1</v>
      </c>
      <c r="K41" s="20">
        <v>1</v>
      </c>
      <c r="L41" s="20">
        <v>1</v>
      </c>
      <c r="M41" t="s">
        <v>115</v>
      </c>
    </row>
    <row r="42" spans="1:13" x14ac:dyDescent="0.3">
      <c r="A42" t="s">
        <v>116</v>
      </c>
      <c r="B42" t="s">
        <v>117</v>
      </c>
      <c r="C42" t="s">
        <v>109</v>
      </c>
      <c r="D42" s="19">
        <v>0</v>
      </c>
      <c r="E42" s="20">
        <v>5</v>
      </c>
      <c r="F42" s="20">
        <v>1</v>
      </c>
      <c r="G42" s="20">
        <v>1</v>
      </c>
      <c r="H42" s="20">
        <v>1</v>
      </c>
      <c r="I42" s="20">
        <v>1</v>
      </c>
      <c r="J42" s="20">
        <v>1</v>
      </c>
      <c r="K42" s="20">
        <f>0.9^D42</f>
        <v>1</v>
      </c>
      <c r="L42" s="20">
        <v>1</v>
      </c>
      <c r="M42" t="s">
        <v>118</v>
      </c>
    </row>
    <row r="43" spans="1:13" x14ac:dyDescent="0.3">
      <c r="A43" t="s">
        <v>119</v>
      </c>
      <c r="B43" t="s">
        <v>120</v>
      </c>
      <c r="C43" t="s">
        <v>109</v>
      </c>
      <c r="D43" s="19">
        <v>0</v>
      </c>
      <c r="E43" s="20">
        <v>5</v>
      </c>
      <c r="F43" s="20">
        <v>1</v>
      </c>
      <c r="G43" s="20">
        <v>1</v>
      </c>
      <c r="H43" s="20">
        <v>1</v>
      </c>
      <c r="I43" s="20">
        <v>1</v>
      </c>
      <c r="J43" s="20">
        <f>1.15^D43</f>
        <v>1</v>
      </c>
      <c r="K43" s="20">
        <v>1</v>
      </c>
      <c r="L43" s="20">
        <v>1</v>
      </c>
      <c r="M43" t="s">
        <v>121</v>
      </c>
    </row>
    <row r="44" spans="1:13" x14ac:dyDescent="0.3">
      <c r="A44" t="s">
        <v>122</v>
      </c>
      <c r="B44" t="s">
        <v>123</v>
      </c>
      <c r="C44" t="s">
        <v>109</v>
      </c>
      <c r="D44" s="19">
        <v>0</v>
      </c>
      <c r="E44" s="20">
        <v>1</v>
      </c>
      <c r="F44" s="20">
        <v>1</v>
      </c>
      <c r="G44" s="20">
        <v>1</v>
      </c>
      <c r="H44" s="20">
        <v>1</v>
      </c>
      <c r="I44" s="20">
        <v>1</v>
      </c>
      <c r="J44" s="20">
        <v>1</v>
      </c>
      <c r="K44" s="20">
        <v>1</v>
      </c>
      <c r="L44" s="20">
        <v>1</v>
      </c>
      <c r="M44" t="s">
        <v>124</v>
      </c>
    </row>
    <row r="45" spans="1:13" x14ac:dyDescent="0.3">
      <c r="A45" t="s">
        <v>125</v>
      </c>
      <c r="B45" t="s">
        <v>126</v>
      </c>
      <c r="C45" t="s">
        <v>109</v>
      </c>
      <c r="D45" s="19">
        <v>0</v>
      </c>
      <c r="E45" s="20">
        <v>3</v>
      </c>
      <c r="F45" s="20">
        <v>1</v>
      </c>
      <c r="G45" s="20">
        <v>1</v>
      </c>
      <c r="H45" s="20">
        <v>1</v>
      </c>
      <c r="I45" s="20">
        <v>1</v>
      </c>
      <c r="J45" s="20">
        <v>1</v>
      </c>
      <c r="K45" s="20">
        <v>1</v>
      </c>
      <c r="L45" s="20">
        <v>1</v>
      </c>
      <c r="M45" t="s">
        <v>124</v>
      </c>
    </row>
    <row r="46" spans="1:13" x14ac:dyDescent="0.3">
      <c r="A46" t="s">
        <v>127</v>
      </c>
      <c r="B46" t="s">
        <v>128</v>
      </c>
      <c r="C46" t="s">
        <v>109</v>
      </c>
      <c r="D46" s="19">
        <v>0</v>
      </c>
      <c r="E46" s="20">
        <v>1</v>
      </c>
      <c r="F46" s="20">
        <v>1</v>
      </c>
      <c r="G46" s="20">
        <v>1</v>
      </c>
      <c r="H46" s="20">
        <v>1</v>
      </c>
      <c r="I46" s="20">
        <v>1</v>
      </c>
      <c r="J46" s="20">
        <v>1</v>
      </c>
      <c r="K46" s="20">
        <v>1</v>
      </c>
      <c r="L46" s="20">
        <v>1</v>
      </c>
      <c r="M46" t="s">
        <v>129</v>
      </c>
    </row>
    <row r="47" spans="1:13" x14ac:dyDescent="0.3">
      <c r="A47" t="s">
        <v>130</v>
      </c>
      <c r="B47" t="s">
        <v>131</v>
      </c>
      <c r="C47" t="s">
        <v>109</v>
      </c>
      <c r="D47" s="19">
        <v>0</v>
      </c>
      <c r="E47" s="20">
        <v>5</v>
      </c>
      <c r="F47" s="20">
        <v>1</v>
      </c>
      <c r="G47" s="20">
        <v>1</v>
      </c>
      <c r="H47" s="20">
        <v>1</v>
      </c>
      <c r="I47" s="20">
        <f>0.8^D47</f>
        <v>1</v>
      </c>
      <c r="J47" s="20">
        <v>1</v>
      </c>
      <c r="K47" s="20">
        <v>1</v>
      </c>
      <c r="L47" s="20">
        <v>1</v>
      </c>
      <c r="M47" t="s">
        <v>132</v>
      </c>
    </row>
    <row r="48" spans="1:13" x14ac:dyDescent="0.3">
      <c r="A48" t="s">
        <v>133</v>
      </c>
      <c r="B48" t="s">
        <v>134</v>
      </c>
      <c r="C48" t="s">
        <v>109</v>
      </c>
      <c r="D48" s="19">
        <v>0</v>
      </c>
      <c r="E48" s="20">
        <v>5</v>
      </c>
      <c r="F48" s="20">
        <v>1</v>
      </c>
      <c r="G48" s="20">
        <v>1</v>
      </c>
      <c r="H48" s="20">
        <v>1</v>
      </c>
      <c r="I48" s="20">
        <f>1.15^D48</f>
        <v>1</v>
      </c>
      <c r="J48" s="20">
        <f>1.15^D48</f>
        <v>1</v>
      </c>
      <c r="K48" s="20">
        <v>1</v>
      </c>
      <c r="L48" s="20">
        <v>1</v>
      </c>
      <c r="M48" t="s">
        <v>135</v>
      </c>
    </row>
    <row r="49" spans="1:13" x14ac:dyDescent="0.3">
      <c r="A49" t="s">
        <v>136</v>
      </c>
      <c r="B49" t="s">
        <v>137</v>
      </c>
      <c r="C49" t="s">
        <v>109</v>
      </c>
      <c r="D49" s="19">
        <v>0</v>
      </c>
      <c r="E49" s="20">
        <v>7</v>
      </c>
      <c r="F49" s="20">
        <v>1</v>
      </c>
      <c r="G49" s="20">
        <v>1</v>
      </c>
      <c r="H49" s="20">
        <v>1</v>
      </c>
      <c r="I49" s="20">
        <v>1</v>
      </c>
      <c r="J49" s="20">
        <v>1</v>
      </c>
      <c r="K49" s="20">
        <v>1</v>
      </c>
      <c r="L49" s="20">
        <v>1</v>
      </c>
      <c r="M49" t="s">
        <v>138</v>
      </c>
    </row>
    <row r="50" spans="1:13" x14ac:dyDescent="0.3">
      <c r="A50" t="s">
        <v>139</v>
      </c>
      <c r="B50" t="s">
        <v>140</v>
      </c>
      <c r="C50" t="s">
        <v>109</v>
      </c>
      <c r="D50" s="19">
        <v>0</v>
      </c>
      <c r="E50" s="20">
        <v>5</v>
      </c>
      <c r="F50" s="20">
        <v>1</v>
      </c>
      <c r="G50" s="20">
        <v>1</v>
      </c>
      <c r="H50" s="20">
        <v>1</v>
      </c>
      <c r="I50" s="20">
        <v>1</v>
      </c>
      <c r="J50" s="20">
        <v>1</v>
      </c>
      <c r="K50" s="20">
        <v>1</v>
      </c>
      <c r="L50" s="20">
        <v>1</v>
      </c>
      <c r="M50" t="s">
        <v>138</v>
      </c>
    </row>
    <row r="51" spans="1:13" x14ac:dyDescent="0.3">
      <c r="A51" t="s">
        <v>141</v>
      </c>
      <c r="B51" t="s">
        <v>142</v>
      </c>
      <c r="C51" t="s">
        <v>109</v>
      </c>
      <c r="D51" s="19">
        <v>0</v>
      </c>
      <c r="E51" s="20">
        <v>5</v>
      </c>
      <c r="F51" s="20">
        <v>1</v>
      </c>
      <c r="G51" s="20">
        <v>1</v>
      </c>
      <c r="H51" s="20">
        <v>1</v>
      </c>
      <c r="I51" s="20">
        <v>1</v>
      </c>
      <c r="J51" s="20">
        <v>1</v>
      </c>
      <c r="K51" s="20">
        <f>1</f>
        <v>1</v>
      </c>
      <c r="L51" s="20">
        <f>1</f>
        <v>1</v>
      </c>
      <c r="M51" t="s">
        <v>143</v>
      </c>
    </row>
    <row r="52" spans="1:13" x14ac:dyDescent="0.3">
      <c r="A52" t="s">
        <v>144</v>
      </c>
      <c r="B52" t="s">
        <v>145</v>
      </c>
      <c r="C52" t="s">
        <v>109</v>
      </c>
      <c r="D52" s="19">
        <v>0</v>
      </c>
      <c r="E52" s="20">
        <v>5</v>
      </c>
      <c r="F52" s="20">
        <v>1</v>
      </c>
      <c r="G52" s="20">
        <v>1</v>
      </c>
      <c r="H52" s="20">
        <v>1</v>
      </c>
      <c r="I52" s="20">
        <v>1</v>
      </c>
      <c r="J52" s="20">
        <v>1</v>
      </c>
      <c r="K52" s="20">
        <v>1</v>
      </c>
      <c r="L52" s="20">
        <v>1</v>
      </c>
      <c r="M52" t="s">
        <v>138</v>
      </c>
    </row>
    <row r="54" spans="1:13" x14ac:dyDescent="0.3">
      <c r="A54" s="22" t="s">
        <v>32</v>
      </c>
    </row>
    <row r="55" spans="1:13" x14ac:dyDescent="0.3">
      <c r="A55" t="s">
        <v>146</v>
      </c>
    </row>
    <row r="56" spans="1:13" x14ac:dyDescent="0.3">
      <c r="A56" t="s">
        <v>147</v>
      </c>
    </row>
    <row r="57" spans="1:13" x14ac:dyDescent="0.3">
      <c r="A57" t="s">
        <v>148</v>
      </c>
    </row>
    <row r="58" spans="1:13" x14ac:dyDescent="0.3">
      <c r="A58" t="s">
        <v>149</v>
      </c>
    </row>
  </sheetData>
  <autoFilter ref="A12:M52" xr:uid="{00000000-0009-0000-0000-000000000000}"/>
  <mergeCells count="2">
    <mergeCell ref="A11:M11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38"/>
  <sheetViews>
    <sheetView topLeftCell="A13" workbookViewId="0">
      <selection sqref="A1:N1"/>
    </sheetView>
  </sheetViews>
  <sheetFormatPr defaultRowHeight="14.4" x14ac:dyDescent="0.3"/>
  <cols>
    <col min="2" max="2" width="4.33203125" customWidth="1"/>
    <col min="3" max="3" width="19" customWidth="1"/>
    <col min="4" max="4" width="13.77734375" customWidth="1"/>
    <col min="5" max="5" width="24.88671875" customWidth="1"/>
    <col min="6" max="6" width="22.5546875" customWidth="1"/>
    <col min="7" max="7" width="25.6640625" customWidth="1"/>
    <col min="8" max="8" width="37.88671875" customWidth="1"/>
    <col min="9" max="9" width="28.88671875" customWidth="1"/>
    <col min="10" max="10" width="25.88671875" customWidth="1"/>
    <col min="11" max="11" width="20.33203125" customWidth="1"/>
  </cols>
  <sheetData>
    <row r="2" spans="3:11" x14ac:dyDescent="0.3">
      <c r="C2" t="s">
        <v>150</v>
      </c>
      <c r="D2" t="s">
        <v>151</v>
      </c>
    </row>
    <row r="3" spans="3:11" x14ac:dyDescent="0.3">
      <c r="D3" t="s">
        <v>152</v>
      </c>
      <c r="J3" s="2"/>
    </row>
    <row r="4" spans="3:11" x14ac:dyDescent="0.3">
      <c r="J4" s="2"/>
    </row>
    <row r="5" spans="3:11" x14ac:dyDescent="0.3">
      <c r="J5" s="2"/>
    </row>
    <row r="6" spans="3:11" x14ac:dyDescent="0.3">
      <c r="E6" t="s">
        <v>153</v>
      </c>
      <c r="F6" t="s">
        <v>154</v>
      </c>
      <c r="G6" t="s">
        <v>155</v>
      </c>
      <c r="H6" t="s">
        <v>156</v>
      </c>
      <c r="I6" t="s">
        <v>157</v>
      </c>
      <c r="J6" s="2"/>
      <c r="K6" t="s">
        <v>158</v>
      </c>
    </row>
    <row r="7" spans="3:11" x14ac:dyDescent="0.3">
      <c r="J7" s="2"/>
    </row>
    <row r="8" spans="3:11" x14ac:dyDescent="0.3">
      <c r="C8" t="s">
        <v>159</v>
      </c>
      <c r="D8" t="s">
        <v>160</v>
      </c>
      <c r="E8">
        <v>3</v>
      </c>
      <c r="F8">
        <v>45</v>
      </c>
      <c r="G8">
        <v>-100</v>
      </c>
      <c r="H8">
        <v>-1000</v>
      </c>
      <c r="I8">
        <v>7500</v>
      </c>
      <c r="J8" s="2"/>
    </row>
    <row r="9" spans="3:11" x14ac:dyDescent="0.3">
      <c r="C9" t="s">
        <v>161</v>
      </c>
      <c r="D9" t="s">
        <v>162</v>
      </c>
      <c r="F9">
        <v>0.1</v>
      </c>
      <c r="G9">
        <v>-0.5</v>
      </c>
      <c r="H9">
        <v>0.625</v>
      </c>
      <c r="I9">
        <v>2.5</v>
      </c>
      <c r="J9" s="2"/>
    </row>
    <row r="10" spans="3:11" x14ac:dyDescent="0.3">
      <c r="D10" t="s">
        <v>163</v>
      </c>
      <c r="H10">
        <v>0.25</v>
      </c>
      <c r="I10">
        <v>-1</v>
      </c>
      <c r="J10" s="2"/>
    </row>
    <row r="11" spans="3:11" x14ac:dyDescent="0.3">
      <c r="D11" t="s">
        <v>164</v>
      </c>
      <c r="J11" s="2"/>
    </row>
    <row r="12" spans="3:11" x14ac:dyDescent="0.3">
      <c r="J12" s="2"/>
    </row>
    <row r="13" spans="3:11" x14ac:dyDescent="0.3">
      <c r="J13" s="2"/>
    </row>
    <row r="14" spans="3:11" x14ac:dyDescent="0.3">
      <c r="J14" s="2"/>
    </row>
    <row r="15" spans="3:11" x14ac:dyDescent="0.3">
      <c r="J15" s="2"/>
    </row>
    <row r="16" spans="3:11" x14ac:dyDescent="0.3">
      <c r="C16" s="2"/>
      <c r="D16" s="2"/>
      <c r="E16" s="2"/>
      <c r="F16" s="2"/>
      <c r="G16" s="2"/>
      <c r="H16" s="2"/>
      <c r="J16" s="2"/>
    </row>
    <row r="17" spans="3:10" x14ac:dyDescent="0.3">
      <c r="C17" s="2"/>
      <c r="D17" s="2"/>
      <c r="E17" s="2"/>
      <c r="F17" s="2"/>
      <c r="G17" s="2"/>
      <c r="H17" s="2"/>
      <c r="J17" s="2"/>
    </row>
    <row r="18" spans="3:10" x14ac:dyDescent="0.3">
      <c r="C18" s="2"/>
      <c r="D18" s="2"/>
      <c r="E18" s="2"/>
      <c r="F18" s="2"/>
      <c r="G18" s="2"/>
      <c r="H18" s="2"/>
      <c r="J18" s="2"/>
    </row>
    <row r="19" spans="3:10" x14ac:dyDescent="0.3">
      <c r="J19" s="2"/>
    </row>
    <row r="20" spans="3:10" x14ac:dyDescent="0.3">
      <c r="J20" s="2"/>
    </row>
    <row r="21" spans="3:10" x14ac:dyDescent="0.3">
      <c r="J21" s="2"/>
    </row>
    <row r="22" spans="3:10" x14ac:dyDescent="0.3">
      <c r="J22" s="2"/>
    </row>
    <row r="23" spans="3:10" x14ac:dyDescent="0.3">
      <c r="J23" s="2"/>
    </row>
    <row r="24" spans="3:10" x14ac:dyDescent="0.3">
      <c r="C24" t="s">
        <v>165</v>
      </c>
      <c r="J24" s="2"/>
    </row>
    <row r="25" spans="3:10" x14ac:dyDescent="0.3">
      <c r="J25" s="2"/>
    </row>
    <row r="26" spans="3:10" x14ac:dyDescent="0.3">
      <c r="C26" t="s">
        <v>166</v>
      </c>
      <c r="E26" s="4" t="s">
        <v>160</v>
      </c>
      <c r="F26" s="4" t="s">
        <v>160</v>
      </c>
      <c r="G26" s="4" t="s">
        <v>160</v>
      </c>
      <c r="H26" s="4" t="s">
        <v>160</v>
      </c>
      <c r="I26" s="4" t="s">
        <v>163</v>
      </c>
      <c r="J26" s="15"/>
    </row>
    <row r="27" spans="3:10" x14ac:dyDescent="0.3">
      <c r="J27" s="2"/>
    </row>
    <row r="28" spans="3:10" x14ac:dyDescent="0.3">
      <c r="C28" t="s">
        <v>167</v>
      </c>
      <c r="E28">
        <v>15</v>
      </c>
      <c r="F28">
        <v>250</v>
      </c>
      <c r="G28">
        <v>1000</v>
      </c>
      <c r="H28">
        <v>5000</v>
      </c>
      <c r="I28">
        <v>6</v>
      </c>
      <c r="J28" s="2"/>
    </row>
    <row r="29" spans="3:10" x14ac:dyDescent="0.3">
      <c r="C29" t="s">
        <v>168</v>
      </c>
      <c r="E29">
        <v>15</v>
      </c>
      <c r="F29">
        <v>250</v>
      </c>
      <c r="G29">
        <v>1000</v>
      </c>
      <c r="H29">
        <v>5000</v>
      </c>
      <c r="I29">
        <v>21000</v>
      </c>
      <c r="J29" s="2"/>
    </row>
    <row r="30" spans="3:10" x14ac:dyDescent="0.3">
      <c r="C30" t="s">
        <v>169</v>
      </c>
      <c r="E30">
        <v>1.22</v>
      </c>
      <c r="F30">
        <v>1.22</v>
      </c>
      <c r="G30">
        <v>1.22</v>
      </c>
      <c r="H30">
        <v>1.22</v>
      </c>
      <c r="I30">
        <v>1.22</v>
      </c>
      <c r="J30" s="2"/>
    </row>
    <row r="31" spans="3:10" x14ac:dyDescent="0.3">
      <c r="J31" s="2"/>
    </row>
    <row r="32" spans="3:10" x14ac:dyDescent="0.3">
      <c r="J32" s="2"/>
    </row>
    <row r="33" spans="3:10" x14ac:dyDescent="0.3">
      <c r="F33" t="s">
        <v>170</v>
      </c>
      <c r="G33" t="s">
        <v>171</v>
      </c>
      <c r="H33" t="s">
        <v>172</v>
      </c>
      <c r="I33" t="s">
        <v>173</v>
      </c>
      <c r="J33" s="2"/>
    </row>
    <row r="34" spans="3:10" x14ac:dyDescent="0.3">
      <c r="F34" s="3" t="s">
        <v>174</v>
      </c>
      <c r="H34" t="s">
        <v>175</v>
      </c>
      <c r="I34" t="s">
        <v>175</v>
      </c>
      <c r="J34" s="2"/>
    </row>
    <row r="35" spans="3:10" x14ac:dyDescent="0.3">
      <c r="C35" t="s">
        <v>176</v>
      </c>
      <c r="E35" t="s">
        <v>177</v>
      </c>
      <c r="F35" t="s">
        <v>178</v>
      </c>
      <c r="H35" t="s">
        <v>179</v>
      </c>
      <c r="I35" t="s">
        <v>180</v>
      </c>
      <c r="J35" s="2"/>
    </row>
    <row r="36" spans="3:10" x14ac:dyDescent="0.3">
      <c r="J36" s="2"/>
    </row>
    <row r="37" spans="3:10" x14ac:dyDescent="0.3">
      <c r="J37" s="2"/>
    </row>
    <row r="38" spans="3:10" x14ac:dyDescent="0.3">
      <c r="J3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331"/>
  <sheetViews>
    <sheetView workbookViewId="0">
      <selection activeCell="I3" sqref="I3"/>
    </sheetView>
  </sheetViews>
  <sheetFormatPr defaultRowHeight="14.4" x14ac:dyDescent="0.3"/>
  <cols>
    <col min="8" max="8" width="25" customWidth="1"/>
    <col min="9" max="9" width="16.5546875" customWidth="1"/>
    <col min="11" max="11" width="12" customWidth="1"/>
    <col min="12" max="12" width="37" customWidth="1"/>
    <col min="13" max="13" width="12.77734375" customWidth="1"/>
    <col min="14" max="14" width="19.21875" customWidth="1"/>
    <col min="15" max="15" width="24.33203125" customWidth="1"/>
  </cols>
  <sheetData>
    <row r="2" spans="1:15" x14ac:dyDescent="0.3">
      <c r="A2" s="22" t="s">
        <v>181</v>
      </c>
      <c r="H2" s="4"/>
    </row>
    <row r="3" spans="1:15" x14ac:dyDescent="0.3">
      <c r="A3" t="s">
        <v>182</v>
      </c>
      <c r="B3" s="20">
        <f>'Balance Controls'!B4</f>
        <v>35</v>
      </c>
      <c r="H3" s="4"/>
    </row>
    <row r="4" spans="1:15" x14ac:dyDescent="0.3">
      <c r="A4" t="s">
        <v>183</v>
      </c>
      <c r="B4" s="20">
        <f>'Balance Controls'!H4</f>
        <v>1.6927999999999999</v>
      </c>
      <c r="H4" s="4"/>
    </row>
    <row r="5" spans="1:15" x14ac:dyDescent="0.3">
      <c r="A5" t="s">
        <v>184</v>
      </c>
      <c r="B5" s="20">
        <f>'Balance Controls'!I4</f>
        <v>1</v>
      </c>
      <c r="H5" s="4" t="s">
        <v>185</v>
      </c>
    </row>
    <row r="6" spans="1:15" x14ac:dyDescent="0.3">
      <c r="A6" t="s">
        <v>186</v>
      </c>
      <c r="B6" s="20">
        <f>'Balance Controls'!J4</f>
        <v>1</v>
      </c>
      <c r="H6" s="4" t="s">
        <v>3</v>
      </c>
      <c r="I6">
        <v>15</v>
      </c>
    </row>
    <row r="7" spans="1:15" x14ac:dyDescent="0.3">
      <c r="A7" t="s">
        <v>187</v>
      </c>
      <c r="B7" s="20">
        <f>'Balance Controls'!K4</f>
        <v>1</v>
      </c>
      <c r="H7" s="4" t="s">
        <v>188</v>
      </c>
      <c r="I7">
        <v>1.22</v>
      </c>
    </row>
    <row r="8" spans="1:15" x14ac:dyDescent="0.3">
      <c r="A8" t="s">
        <v>189</v>
      </c>
      <c r="B8" s="20">
        <f>'Balance Controls'!L4</f>
        <v>1</v>
      </c>
      <c r="H8" s="4" t="s">
        <v>190</v>
      </c>
      <c r="I8">
        <v>3</v>
      </c>
    </row>
    <row r="9" spans="1:15" x14ac:dyDescent="0.3">
      <c r="A9" t="s">
        <v>191</v>
      </c>
      <c r="B9" s="20">
        <f>'Balance Controls'!M4</f>
        <v>1</v>
      </c>
      <c r="H9" s="4"/>
    </row>
    <row r="10" spans="1:15" x14ac:dyDescent="0.3">
      <c r="A10" t="s">
        <v>192</v>
      </c>
      <c r="B10" s="20">
        <f>'Balance Controls'!N4</f>
        <v>1</v>
      </c>
      <c r="H10" s="4"/>
      <c r="K10" t="s">
        <v>23</v>
      </c>
      <c r="L10" t="s">
        <v>193</v>
      </c>
      <c r="M10" t="s">
        <v>194</v>
      </c>
      <c r="N10" t="s">
        <v>195</v>
      </c>
      <c r="O10" t="s">
        <v>196</v>
      </c>
    </row>
    <row r="11" spans="1:15" x14ac:dyDescent="0.3">
      <c r="H11" s="4"/>
      <c r="K11">
        <v>0</v>
      </c>
      <c r="L11" s="6">
        <f t="shared" ref="L11:L74" si="0">$I$6*($I$7^K11)</f>
        <v>15</v>
      </c>
      <c r="N11">
        <f>K11*$I$8*$B$4*(1+0.008*K11)^'Balance Controls'!$D$14</f>
        <v>0</v>
      </c>
      <c r="O11" t="e">
        <f t="shared" ref="O11:O74" si="1">L11/N11</f>
        <v>#DIV/0!</v>
      </c>
    </row>
    <row r="12" spans="1:15" x14ac:dyDescent="0.3">
      <c r="H12" s="4"/>
      <c r="K12">
        <v>1</v>
      </c>
      <c r="L12" s="6">
        <f t="shared" si="0"/>
        <v>18.3</v>
      </c>
      <c r="N12">
        <f>K12*$I$8*$B$4*(1+0.008*K12)^'Balance Controls'!$D$14</f>
        <v>5.1190271999999997</v>
      </c>
      <c r="O12">
        <f t="shared" si="1"/>
        <v>3.5748979806163175</v>
      </c>
    </row>
    <row r="13" spans="1:15" x14ac:dyDescent="0.3">
      <c r="H13" s="4"/>
      <c r="K13">
        <v>2</v>
      </c>
      <c r="L13" s="6">
        <f t="shared" si="0"/>
        <v>22.326000000000001</v>
      </c>
      <c r="N13">
        <f>K13*$I$8*$B$4*(1+0.008*K13)^'Balance Controls'!$D$14</f>
        <v>10.319308799999998</v>
      </c>
      <c r="O13">
        <f t="shared" si="1"/>
        <v>2.1635169983477969</v>
      </c>
    </row>
    <row r="14" spans="1:15" x14ac:dyDescent="0.3">
      <c r="H14" s="4"/>
      <c r="K14">
        <v>3</v>
      </c>
      <c r="L14" s="6">
        <f t="shared" si="0"/>
        <v>27.237719999999999</v>
      </c>
      <c r="N14">
        <f>K14*$I$8*$B$4*(1+0.008*K14)^'Balance Controls'!$D$14</f>
        <v>15.600844799999999</v>
      </c>
      <c r="O14">
        <f t="shared" si="1"/>
        <v>1.7459131443958729</v>
      </c>
    </row>
    <row r="15" spans="1:15" x14ac:dyDescent="0.3">
      <c r="H15" s="4"/>
      <c r="K15">
        <v>4</v>
      </c>
      <c r="L15" s="6">
        <f t="shared" si="0"/>
        <v>33.230018399999992</v>
      </c>
      <c r="N15">
        <f>K15*$I$8*$B$4*(1+0.008*K15)^'Balance Controls'!$D$14</f>
        <v>20.963635199999999</v>
      </c>
      <c r="O15">
        <f t="shared" si="1"/>
        <v>1.585126724586392</v>
      </c>
    </row>
    <row r="16" spans="1:15" x14ac:dyDescent="0.3">
      <c r="H16" s="4"/>
      <c r="K16">
        <v>5</v>
      </c>
      <c r="L16" s="6">
        <f t="shared" si="0"/>
        <v>40.540622447999993</v>
      </c>
      <c r="N16">
        <f>K16*$I$8*$B$4*(1+0.008*K16)^'Balance Controls'!$D$14</f>
        <v>26.407679999999999</v>
      </c>
      <c r="O16">
        <f t="shared" si="1"/>
        <v>1.5351830394794239</v>
      </c>
    </row>
    <row r="17" spans="8:15" x14ac:dyDescent="0.3">
      <c r="H17" s="4"/>
      <c r="K17">
        <v>6</v>
      </c>
      <c r="L17" s="6">
        <f t="shared" si="0"/>
        <v>49.459559386559988</v>
      </c>
      <c r="N17">
        <f>K17*$I$8*$B$4*(1+0.008*K17)^'Balance Controls'!$D$14</f>
        <v>31.932979199999998</v>
      </c>
      <c r="O17">
        <f t="shared" si="1"/>
        <v>1.548855153062574</v>
      </c>
    </row>
    <row r="18" spans="8:15" x14ac:dyDescent="0.3">
      <c r="H18" s="4"/>
      <c r="K18">
        <v>7</v>
      </c>
      <c r="L18" s="6">
        <f t="shared" si="0"/>
        <v>60.340662451603187</v>
      </c>
      <c r="N18">
        <f>K18*$I$8*$B$4*(1+0.008*K18)^'Balance Controls'!$D$14</f>
        <v>37.539532800000003</v>
      </c>
      <c r="O18">
        <f t="shared" si="1"/>
        <v>1.6073898088471463</v>
      </c>
    </row>
    <row r="19" spans="8:15" x14ac:dyDescent="0.3">
      <c r="H19" s="4"/>
      <c r="K19">
        <v>8</v>
      </c>
      <c r="L19" s="6">
        <f t="shared" si="0"/>
        <v>73.615608190955882</v>
      </c>
      <c r="N19">
        <f>K19*$I$8*$B$4*(1+0.008*K19)^'Balance Controls'!$D$14</f>
        <v>43.2273408</v>
      </c>
      <c r="O19">
        <f t="shared" si="1"/>
        <v>1.7029872027417399</v>
      </c>
    </row>
    <row r="20" spans="8:15" x14ac:dyDescent="0.3">
      <c r="H20" s="4"/>
      <c r="K20">
        <v>9</v>
      </c>
      <c r="L20" s="6">
        <f t="shared" si="0"/>
        <v>89.811041992966167</v>
      </c>
      <c r="N20">
        <f>K20*$I$8*$B$4*(1+0.008*K20)^'Balance Controls'!$D$14</f>
        <v>48.996403199999996</v>
      </c>
      <c r="O20">
        <f t="shared" si="1"/>
        <v>1.8330129586525685</v>
      </c>
    </row>
    <row r="21" spans="8:15" x14ac:dyDescent="0.3">
      <c r="H21" s="4"/>
      <c r="K21">
        <v>10</v>
      </c>
      <c r="L21" s="6">
        <f t="shared" si="0"/>
        <v>109.56947123141872</v>
      </c>
      <c r="N21">
        <f>K21*$I$8*$B$4*(1+0.008*K21)^'Balance Controls'!$D$14</f>
        <v>54.846720000000005</v>
      </c>
      <c r="O21">
        <f t="shared" si="1"/>
        <v>1.9977397232034788</v>
      </c>
    </row>
    <row r="22" spans="8:15" x14ac:dyDescent="0.3">
      <c r="H22" s="4"/>
      <c r="K22">
        <v>11</v>
      </c>
      <c r="L22" s="6">
        <f t="shared" si="0"/>
        <v>133.67475490233085</v>
      </c>
      <c r="N22">
        <f>K22*$I$8*$B$4*(1+0.008*K22)^'Balance Controls'!$D$14</f>
        <v>60.778291199999998</v>
      </c>
      <c r="O22">
        <f t="shared" si="1"/>
        <v>2.1993832380455416</v>
      </c>
    </row>
    <row r="23" spans="8:15" x14ac:dyDescent="0.3">
      <c r="H23" s="4"/>
      <c r="K23">
        <v>12</v>
      </c>
      <c r="L23" s="6">
        <f t="shared" si="0"/>
        <v>163.0832009808436</v>
      </c>
      <c r="N23">
        <f>K23*$I$8*$B$4*(1+0.008*K23)^'Balance Controls'!$D$14</f>
        <v>66.791116799999998</v>
      </c>
      <c r="O23">
        <f t="shared" si="1"/>
        <v>2.4416899850496825</v>
      </c>
    </row>
    <row r="24" spans="8:15" x14ac:dyDescent="0.3">
      <c r="H24" s="4"/>
      <c r="K24">
        <v>13</v>
      </c>
      <c r="L24" s="6">
        <f t="shared" si="0"/>
        <v>198.96150519662919</v>
      </c>
      <c r="N24">
        <f>K24*$I$8*$B$4*(1+0.008*K24)^'Balance Controls'!$D$14</f>
        <v>72.885196800000003</v>
      </c>
      <c r="O24">
        <f t="shared" si="1"/>
        <v>2.7297930709110632</v>
      </c>
    </row>
    <row r="25" spans="8:15" x14ac:dyDescent="0.3">
      <c r="H25" s="4"/>
      <c r="K25">
        <v>14</v>
      </c>
      <c r="L25" s="6">
        <f t="shared" si="0"/>
        <v>242.7330363398876</v>
      </c>
      <c r="N25">
        <f>K25*$I$8*$B$4*(1+0.008*K25)^'Balance Controls'!$D$14</f>
        <v>79.060531200000014</v>
      </c>
      <c r="O25">
        <f t="shared" si="1"/>
        <v>3.0702176250984707</v>
      </c>
    </row>
    <row r="26" spans="8:15" x14ac:dyDescent="0.3">
      <c r="H26" s="4"/>
      <c r="K26">
        <v>15</v>
      </c>
      <c r="L26" s="6">
        <f t="shared" si="0"/>
        <v>296.13430433466289</v>
      </c>
      <c r="N26">
        <f>K26*$I$8*$B$4*(1+0.008*K26)^'Balance Controls'!$D$14</f>
        <v>85.317119999999989</v>
      </c>
      <c r="O26">
        <f t="shared" si="1"/>
        <v>3.4709833657613256</v>
      </c>
    </row>
    <row r="27" spans="8:15" x14ac:dyDescent="0.3">
      <c r="H27" s="4"/>
      <c r="K27">
        <v>16</v>
      </c>
      <c r="L27" s="6">
        <f t="shared" si="0"/>
        <v>361.2838512882887</v>
      </c>
      <c r="N27">
        <f>K27*$I$8*$B$4*(1+0.008*K27)^'Balance Controls'!$D$14</f>
        <v>91.654963199999997</v>
      </c>
      <c r="O27">
        <f t="shared" si="1"/>
        <v>3.9417816414363984</v>
      </c>
    </row>
    <row r="28" spans="8:15" x14ac:dyDescent="0.3">
      <c r="H28" s="4"/>
      <c r="K28">
        <v>17</v>
      </c>
      <c r="L28" s="6">
        <f t="shared" si="0"/>
        <v>440.76629857171213</v>
      </c>
      <c r="N28">
        <f>K28*$I$8*$B$4*(1+0.008*K28)^'Balance Controls'!$D$14</f>
        <v>98.074060799999998</v>
      </c>
      <c r="O28">
        <f t="shared" si="1"/>
        <v>4.4942189094275999</v>
      </c>
    </row>
    <row r="29" spans="8:15" x14ac:dyDescent="0.3">
      <c r="H29" s="4"/>
      <c r="K29">
        <v>18</v>
      </c>
      <c r="L29" s="6">
        <f t="shared" si="0"/>
        <v>537.73488425748883</v>
      </c>
      <c r="N29">
        <f>K29*$I$8*$B$4*(1+0.008*K29)^'Balance Controls'!$D$14</f>
        <v>104.5744128</v>
      </c>
      <c r="O29">
        <f t="shared" si="1"/>
        <v>5.1421267388411174</v>
      </c>
    </row>
    <row r="30" spans="8:15" x14ac:dyDescent="0.3">
      <c r="H30" s="4"/>
      <c r="K30">
        <v>19</v>
      </c>
      <c r="L30" s="6">
        <f t="shared" si="0"/>
        <v>656.03655879413634</v>
      </c>
      <c r="N30">
        <f>K30*$I$8*$B$4*(1+0.008*K30)^'Balance Controls'!$D$14</f>
        <v>111.15601919999999</v>
      </c>
      <c r="O30">
        <f t="shared" si="1"/>
        <v>5.901943624067246</v>
      </c>
    </row>
    <row r="31" spans="8:15" x14ac:dyDescent="0.3">
      <c r="H31" s="4"/>
      <c r="K31">
        <v>20</v>
      </c>
      <c r="L31" s="6">
        <f t="shared" si="0"/>
        <v>800.3646017288462</v>
      </c>
      <c r="N31">
        <f>K31*$I$8*$B$4*(1+0.008*K31)^'Balance Controls'!$D$14</f>
        <v>117.81887999999999</v>
      </c>
      <c r="O31">
        <f t="shared" si="1"/>
        <v>6.7931778143608756</v>
      </c>
    </row>
    <row r="32" spans="8:15" x14ac:dyDescent="0.3">
      <c r="H32" s="4"/>
      <c r="K32">
        <v>21</v>
      </c>
      <c r="L32" s="6">
        <f t="shared" si="0"/>
        <v>976.44481410919241</v>
      </c>
      <c r="N32">
        <f>K32*$I$8*$B$4*(1+0.008*K32)^'Balance Controls'!$D$14</f>
        <v>124.56299519999997</v>
      </c>
      <c r="O32">
        <f t="shared" si="1"/>
        <v>7.8389638314444818</v>
      </c>
    </row>
    <row r="33" spans="8:15" x14ac:dyDescent="0.3">
      <c r="H33" s="4"/>
      <c r="K33">
        <v>22</v>
      </c>
      <c r="L33" s="6">
        <f t="shared" si="0"/>
        <v>1191.2626732132146</v>
      </c>
      <c r="N33">
        <f>K33*$I$8*$B$4*(1+0.008*K33)^'Balance Controls'!$D$14</f>
        <v>131.38836479999998</v>
      </c>
      <c r="O33">
        <f t="shared" si="1"/>
        <v>9.0667288159538373</v>
      </c>
    </row>
    <row r="34" spans="8:15" x14ac:dyDescent="0.3">
      <c r="H34" s="4"/>
      <c r="K34">
        <v>23</v>
      </c>
      <c r="L34" s="6">
        <f t="shared" si="0"/>
        <v>1453.3404613201221</v>
      </c>
      <c r="N34">
        <f>K34*$I$8*$B$4*(1+0.008*K34)^'Balance Controls'!$D$14</f>
        <v>138.29498879999997</v>
      </c>
      <c r="O34">
        <f t="shared" si="1"/>
        <v>10.508988604221374</v>
      </c>
    </row>
    <row r="35" spans="8:15" x14ac:dyDescent="0.3">
      <c r="K35">
        <v>24</v>
      </c>
      <c r="L35" s="6">
        <f t="shared" si="0"/>
        <v>1773.0753628105485</v>
      </c>
      <c r="N35">
        <f>K35*$I$8*$B$4*(1+0.008*K35)^'Balance Controls'!$D$14</f>
        <v>145.28286719999997</v>
      </c>
      <c r="O35">
        <f t="shared" si="1"/>
        <v>12.204297705452698</v>
      </c>
    </row>
    <row r="36" spans="8:15" x14ac:dyDescent="0.3">
      <c r="K36">
        <v>25</v>
      </c>
      <c r="L36" s="6">
        <f t="shared" si="0"/>
        <v>2163.1519426288692</v>
      </c>
      <c r="N36">
        <f>K36*$I$8*$B$4*(1+0.008*K36)^'Balance Controls'!$D$14</f>
        <v>152.35199999999998</v>
      </c>
      <c r="O36">
        <f t="shared" si="1"/>
        <v>14.198382316142023</v>
      </c>
    </row>
    <row r="37" spans="8:15" x14ac:dyDescent="0.3">
      <c r="K37">
        <v>26</v>
      </c>
      <c r="L37" s="6">
        <f t="shared" si="0"/>
        <v>2639.0453700072203</v>
      </c>
      <c r="N37">
        <f>K37*$I$8*$B$4*(1+0.008*K37)^'Balance Controls'!$D$14</f>
        <v>159.50238719999999</v>
      </c>
      <c r="O37">
        <f t="shared" si="1"/>
        <v>16.545491364327496</v>
      </c>
    </row>
    <row r="38" spans="8:15" x14ac:dyDescent="0.3">
      <c r="K38">
        <v>27</v>
      </c>
      <c r="L38" s="6">
        <f t="shared" si="0"/>
        <v>3219.6353514088087</v>
      </c>
      <c r="N38">
        <f>K38*$I$8*$B$4*(1+0.008*K38)^'Balance Controls'!$D$14</f>
        <v>166.73402879999998</v>
      </c>
      <c r="O38">
        <f t="shared" si="1"/>
        <v>19.310007528641982</v>
      </c>
    </row>
    <row r="39" spans="8:15" x14ac:dyDescent="0.3">
      <c r="K39">
        <v>28</v>
      </c>
      <c r="L39" s="6">
        <f t="shared" si="0"/>
        <v>3927.9551287187464</v>
      </c>
      <c r="N39">
        <f>K39*$I$8*$B$4*(1+0.008*K39)^'Balance Controls'!$D$14</f>
        <v>174.0469248</v>
      </c>
      <c r="O39">
        <f t="shared" si="1"/>
        <v>22.568368462886777</v>
      </c>
    </row>
    <row r="40" spans="8:15" x14ac:dyDescent="0.3">
      <c r="K40">
        <v>29</v>
      </c>
      <c r="L40" s="6">
        <f t="shared" si="0"/>
        <v>4792.1052570368702</v>
      </c>
      <c r="N40">
        <f>K40*$I$8*$B$4*(1+0.008*K40)^'Balance Controls'!$D$14</f>
        <v>181.44107519999997</v>
      </c>
      <c r="O40">
        <f t="shared" si="1"/>
        <v>26.411358352868</v>
      </c>
    </row>
    <row r="41" spans="8:15" x14ac:dyDescent="0.3">
      <c r="K41">
        <v>30</v>
      </c>
      <c r="L41" s="6">
        <f t="shared" si="0"/>
        <v>5846.3684135849808</v>
      </c>
      <c r="N41">
        <f>K41*$I$8*$B$4*(1+0.008*K41)^'Balance Controls'!$D$14</f>
        <v>188.91647999999998</v>
      </c>
      <c r="O41">
        <f t="shared" si="1"/>
        <v>30.946841766186736</v>
      </c>
    </row>
    <row r="42" spans="8:15" x14ac:dyDescent="0.3">
      <c r="K42">
        <v>31</v>
      </c>
      <c r="L42" s="6">
        <f t="shared" si="0"/>
        <v>7132.5694645736785</v>
      </c>
      <c r="N42">
        <f>K42*$I$8*$B$4*(1+0.008*K42)^'Balance Controls'!$D$14</f>
        <v>196.47313919999999</v>
      </c>
      <c r="O42">
        <f t="shared" si="1"/>
        <v>36.303025918026755</v>
      </c>
    </row>
    <row r="43" spans="8:15" x14ac:dyDescent="0.3">
      <c r="K43">
        <v>32</v>
      </c>
      <c r="L43" s="6">
        <f t="shared" si="0"/>
        <v>8701.7347467798845</v>
      </c>
      <c r="N43">
        <f>K43*$I$8*$B$4*(1+0.008*K43)^'Balance Controls'!$D$14</f>
        <v>204.11105279999998</v>
      </c>
      <c r="O43">
        <f t="shared" si="1"/>
        <v>42.632354433575706</v>
      </c>
    </row>
    <row r="44" spans="8:15" x14ac:dyDescent="0.3">
      <c r="K44">
        <v>33</v>
      </c>
      <c r="L44" s="6">
        <f t="shared" si="0"/>
        <v>10616.11639107146</v>
      </c>
      <c r="N44">
        <f>K44*$I$8*$B$4*(1+0.008*K44)^'Balance Controls'!$D$14</f>
        <v>211.83022080000001</v>
      </c>
      <c r="O44">
        <f t="shared" si="1"/>
        <v>50.116155999736655</v>
      </c>
    </row>
    <row r="45" spans="8:15" x14ac:dyDescent="0.3">
      <c r="K45">
        <v>34</v>
      </c>
      <c r="L45" s="6">
        <f t="shared" si="0"/>
        <v>12951.661997107181</v>
      </c>
      <c r="N45">
        <f>K45*$I$8*$B$4*(1+0.008*K45)^'Balance Controls'!$D$14</f>
        <v>219.63064319999998</v>
      </c>
      <c r="O45">
        <f t="shared" si="1"/>
        <v>58.970195635738968</v>
      </c>
    </row>
    <row r="46" spans="8:15" x14ac:dyDescent="0.3">
      <c r="K46">
        <v>35</v>
      </c>
      <c r="L46" s="6">
        <f t="shared" si="0"/>
        <v>15801.027636470761</v>
      </c>
      <c r="N46">
        <f>K46*$I$8*$B$4*(1+0.008*K46)^'Balance Controls'!$D$14</f>
        <v>227.51231999999996</v>
      </c>
      <c r="O46">
        <f t="shared" si="1"/>
        <v>69.451305478625343</v>
      </c>
    </row>
    <row r="47" spans="8:15" x14ac:dyDescent="0.3">
      <c r="K47">
        <v>36</v>
      </c>
      <c r="L47" s="6">
        <f t="shared" si="0"/>
        <v>19277.253716494328</v>
      </c>
      <c r="N47">
        <f>K47*$I$8*$B$4*(1+0.008*K47)^'Balance Controls'!$D$14</f>
        <v>235.4752512</v>
      </c>
      <c r="O47">
        <f t="shared" si="1"/>
        <v>81.865306940988319</v>
      </c>
    </row>
    <row r="48" spans="8:15" x14ac:dyDescent="0.3">
      <c r="K48">
        <v>37</v>
      </c>
      <c r="L48" s="6">
        <f t="shared" si="0"/>
        <v>23518.249534123075</v>
      </c>
      <c r="N48">
        <f>K48*$I$8*$B$4*(1+0.008*K48)^'Balance Controls'!$D$14</f>
        <v>243.51943679999997</v>
      </c>
      <c r="O48">
        <f t="shared" si="1"/>
        <v>96.57647801410765</v>
      </c>
    </row>
    <row r="49" spans="11:15" x14ac:dyDescent="0.3">
      <c r="K49">
        <v>38</v>
      </c>
      <c r="L49" s="6">
        <f t="shared" si="0"/>
        <v>28692.264431630148</v>
      </c>
      <c r="N49">
        <f>K49*$I$8*$B$4*(1+0.008*K49)^'Balance Controls'!$D$14</f>
        <v>251.64487679999999</v>
      </c>
      <c r="O49">
        <f t="shared" si="1"/>
        <v>114.01886975205112</v>
      </c>
    </row>
    <row r="50" spans="11:15" x14ac:dyDescent="0.3">
      <c r="K50">
        <v>39</v>
      </c>
      <c r="L50" s="6">
        <f t="shared" si="0"/>
        <v>35004.562606588792</v>
      </c>
      <c r="N50">
        <f>K50*$I$8*$B$4*(1+0.008*K50)^'Balance Controls'!$D$14</f>
        <v>259.85157119999997</v>
      </c>
      <c r="O50">
        <f t="shared" si="1"/>
        <v>134.70983625358505</v>
      </c>
    </row>
    <row r="51" spans="11:15" x14ac:dyDescent="0.3">
      <c r="K51">
        <v>40</v>
      </c>
      <c r="L51" s="6">
        <f t="shared" si="0"/>
        <v>42705.566380038312</v>
      </c>
      <c r="N51">
        <f>K51*$I$8*$B$4*(1+0.008*K51)^'Balance Controls'!$D$14</f>
        <v>268.13952</v>
      </c>
      <c r="O51">
        <f t="shared" si="1"/>
        <v>159.26621476773849</v>
      </c>
    </row>
    <row r="52" spans="11:15" x14ac:dyDescent="0.3">
      <c r="K52">
        <v>41</v>
      </c>
      <c r="L52" s="6">
        <f t="shared" si="0"/>
        <v>52100.790983646737</v>
      </c>
      <c r="N52">
        <f>K52*$I$8*$B$4*(1+0.008*K52)^'Balance Controls'!$D$14</f>
        <v>276.50872320000002</v>
      </c>
      <c r="O52">
        <f t="shared" si="1"/>
        <v>188.42367929912285</v>
      </c>
    </row>
    <row r="53" spans="11:15" x14ac:dyDescent="0.3">
      <c r="K53">
        <v>42</v>
      </c>
      <c r="L53" s="6">
        <f t="shared" si="0"/>
        <v>63562.965000049015</v>
      </c>
      <c r="N53">
        <f>K53*$I$8*$B$4*(1+0.008*K53)^'Balance Controls'!$D$14</f>
        <v>284.95918079999996</v>
      </c>
      <c r="O53">
        <f t="shared" si="1"/>
        <v>223.0598951807803</v>
      </c>
    </row>
    <row r="54" spans="11:15" x14ac:dyDescent="0.3">
      <c r="K54">
        <v>43</v>
      </c>
      <c r="L54" s="6">
        <f t="shared" si="0"/>
        <v>77546.817300059804</v>
      </c>
      <c r="N54">
        <f>K54*$I$8*$B$4*(1+0.008*K54)^'Balance Controls'!$D$14</f>
        <v>293.49089279999998</v>
      </c>
      <c r="O54">
        <f t="shared" si="1"/>
        <v>264.2222270007685</v>
      </c>
    </row>
    <row r="55" spans="11:15" x14ac:dyDescent="0.3">
      <c r="K55">
        <v>44</v>
      </c>
      <c r="L55" s="6">
        <f t="shared" si="0"/>
        <v>94607.117106072954</v>
      </c>
      <c r="N55">
        <f>K55*$I$8*$B$4*(1+0.008*K55)^'Balance Controls'!$D$14</f>
        <v>302.10385919999993</v>
      </c>
      <c r="O55">
        <f t="shared" si="1"/>
        <v>313.1609022029765</v>
      </c>
    </row>
    <row r="56" spans="11:15" x14ac:dyDescent="0.3">
      <c r="K56">
        <v>45</v>
      </c>
      <c r="L56" s="6">
        <f t="shared" si="0"/>
        <v>115420.68286940899</v>
      </c>
      <c r="N56">
        <f>K56*$I$8*$B$4*(1+0.008*K56)^'Balance Controls'!$D$14</f>
        <v>310.79807999999997</v>
      </c>
      <c r="O56">
        <f t="shared" si="1"/>
        <v>371.36871266839552</v>
      </c>
    </row>
    <row r="57" spans="11:15" x14ac:dyDescent="0.3">
      <c r="K57">
        <v>46</v>
      </c>
      <c r="L57" s="6">
        <f t="shared" si="0"/>
        <v>140813.23310067895</v>
      </c>
      <c r="N57">
        <f>K57*$I$8*$B$4*(1+0.008*K57)^'Balance Controls'!$D$14</f>
        <v>319.57355519999993</v>
      </c>
      <c r="O57">
        <f t="shared" si="1"/>
        <v>440.62855267405735</v>
      </c>
    </row>
    <row r="58" spans="11:15" x14ac:dyDescent="0.3">
      <c r="K58">
        <v>47</v>
      </c>
      <c r="L58" s="6">
        <f t="shared" si="0"/>
        <v>171792.14438282835</v>
      </c>
      <c r="N58">
        <f>K58*$I$8*$B$4*(1+0.008*K58)^'Balance Controls'!$D$14</f>
        <v>328.43028479999992</v>
      </c>
      <c r="O58">
        <f t="shared" si="1"/>
        <v>523.07035110188599</v>
      </c>
    </row>
    <row r="59" spans="11:15" x14ac:dyDescent="0.3">
      <c r="K59">
        <v>48</v>
      </c>
      <c r="L59" s="6">
        <f t="shared" si="0"/>
        <v>209586.41614705054</v>
      </c>
      <c r="N59">
        <f>K59*$I$8*$B$4*(1+0.008*K59)^'Balance Controls'!$D$14</f>
        <v>337.36826879999995</v>
      </c>
      <c r="O59">
        <f t="shared" si="1"/>
        <v>621.23926738142177</v>
      </c>
    </row>
    <row r="60" spans="11:15" x14ac:dyDescent="0.3">
      <c r="K60">
        <v>49</v>
      </c>
      <c r="L60" s="6">
        <f t="shared" si="0"/>
        <v>255695.42769940165</v>
      </c>
      <c r="N60">
        <f>K60*$I$8*$B$4*(1+0.008*K60)^'Balance Controls'!$D$14</f>
        <v>346.38750719999996</v>
      </c>
      <c r="O60">
        <f t="shared" si="1"/>
        <v>738.17739492482963</v>
      </c>
    </row>
    <row r="61" spans="11:15" x14ac:dyDescent="0.3">
      <c r="K61">
        <v>50</v>
      </c>
      <c r="L61" s="6">
        <f t="shared" si="0"/>
        <v>311948.42179326998</v>
      </c>
      <c r="N61">
        <f>K61*$I$8*$B$4*(1+0.008*K61)^'Balance Controls'!$D$14</f>
        <v>355.48799999999994</v>
      </c>
      <c r="O61">
        <f t="shared" si="1"/>
        <v>877.52166540999986</v>
      </c>
    </row>
    <row r="62" spans="11:15" x14ac:dyDescent="0.3">
      <c r="K62">
        <v>51</v>
      </c>
      <c r="L62" s="6">
        <f t="shared" si="0"/>
        <v>380577.07458778942</v>
      </c>
      <c r="N62">
        <f>K62*$I$8*$B$4*(1+0.008*K62)^'Balance Controls'!$D$14</f>
        <v>364.66974719999996</v>
      </c>
      <c r="O62">
        <f t="shared" si="1"/>
        <v>1043.6211874166388</v>
      </c>
    </row>
    <row r="63" spans="11:15" x14ac:dyDescent="0.3">
      <c r="K63">
        <v>52</v>
      </c>
      <c r="L63" s="6">
        <f t="shared" si="0"/>
        <v>464304.03099710302</v>
      </c>
      <c r="N63">
        <f>K63*$I$8*$B$4*(1+0.008*K63)^'Balance Controls'!$D$14</f>
        <v>373.93274879999996</v>
      </c>
      <c r="O63">
        <f t="shared" si="1"/>
        <v>1241.6779019412356</v>
      </c>
    </row>
    <row r="64" spans="11:15" x14ac:dyDescent="0.3">
      <c r="K64">
        <v>53</v>
      </c>
      <c r="L64" s="6">
        <f t="shared" si="0"/>
        <v>566450.91781646572</v>
      </c>
      <c r="N64">
        <f>K64*$I$8*$B$4*(1+0.008*K64)^'Balance Controls'!$D$14</f>
        <v>383.27700479999993</v>
      </c>
      <c r="O64">
        <f t="shared" si="1"/>
        <v>1477.9152172514207</v>
      </c>
    </row>
    <row r="65" spans="11:15" x14ac:dyDescent="0.3">
      <c r="K65">
        <v>54</v>
      </c>
      <c r="L65" s="6">
        <f t="shared" si="0"/>
        <v>691070.11973608809</v>
      </c>
      <c r="N65">
        <f>K65*$I$8*$B$4*(1+0.008*K65)^'Balance Controls'!$D$14</f>
        <v>392.70251519999994</v>
      </c>
      <c r="O65">
        <f t="shared" si="1"/>
        <v>1759.7802229102917</v>
      </c>
    </row>
    <row r="66" spans="11:15" x14ac:dyDescent="0.3">
      <c r="K66">
        <v>55</v>
      </c>
      <c r="L66" s="6">
        <f t="shared" si="0"/>
        <v>843105.54607802758</v>
      </c>
      <c r="N66">
        <f>K66*$I$8*$B$4*(1+0.008*K66)^'Balance Controls'!$D$14</f>
        <v>402.20927999999992</v>
      </c>
      <c r="O66">
        <f t="shared" si="1"/>
        <v>2096.1862095226338</v>
      </c>
    </row>
    <row r="67" spans="11:15" x14ac:dyDescent="0.3">
      <c r="K67">
        <v>56</v>
      </c>
      <c r="L67" s="6">
        <f t="shared" si="0"/>
        <v>1028588.7662151934</v>
      </c>
      <c r="N67">
        <f>K67*$I$8*$B$4*(1+0.008*K67)^'Balance Controls'!$D$14</f>
        <v>411.7972992</v>
      </c>
      <c r="O67">
        <f t="shared" si="1"/>
        <v>2497.803575238197</v>
      </c>
    </row>
    <row r="68" spans="11:15" x14ac:dyDescent="0.3">
      <c r="K68">
        <v>57</v>
      </c>
      <c r="L68" s="6">
        <f t="shared" si="0"/>
        <v>1254878.2947825359</v>
      </c>
      <c r="N68">
        <f>K68*$I$8*$B$4*(1+0.008*K68)^'Balance Controls'!$D$14</f>
        <v>421.46657279999999</v>
      </c>
      <c r="O68">
        <f t="shared" si="1"/>
        <v>2977.4088285241487</v>
      </c>
    </row>
    <row r="69" spans="11:15" x14ac:dyDescent="0.3">
      <c r="K69">
        <v>58</v>
      </c>
      <c r="L69" s="6">
        <f t="shared" si="0"/>
        <v>1530951.5196346939</v>
      </c>
      <c r="N69">
        <f>K69*$I$8*$B$4*(1+0.008*K69)^'Balance Controls'!$D$14</f>
        <v>431.21710079999997</v>
      </c>
      <c r="O69">
        <f t="shared" si="1"/>
        <v>3550.303354840175</v>
      </c>
    </row>
    <row r="70" spans="11:15" x14ac:dyDescent="0.3">
      <c r="K70">
        <v>59</v>
      </c>
      <c r="L70" s="6">
        <f t="shared" si="0"/>
        <v>1867760.8539543264</v>
      </c>
      <c r="N70">
        <f>K70*$I$8*$B$4*(1+0.008*K70)^'Balance Controls'!$D$14</f>
        <v>441.04888319999992</v>
      </c>
      <c r="O70">
        <f t="shared" si="1"/>
        <v>4234.815969610705</v>
      </c>
    </row>
    <row r="71" spans="11:15" x14ac:dyDescent="0.3">
      <c r="K71">
        <v>60</v>
      </c>
      <c r="L71" s="6">
        <f t="shared" si="0"/>
        <v>2278668.2418242781</v>
      </c>
      <c r="N71">
        <f>K71*$I$8*$B$4*(1+0.008*K71)^'Balance Controls'!$D$14</f>
        <v>450.96191999999991</v>
      </c>
      <c r="O71">
        <f t="shared" si="1"/>
        <v>5052.9061119490498</v>
      </c>
    </row>
    <row r="72" spans="11:15" x14ac:dyDescent="0.3">
      <c r="K72">
        <v>61</v>
      </c>
      <c r="L72" s="6">
        <f t="shared" si="0"/>
        <v>2779975.2550256192</v>
      </c>
      <c r="N72">
        <f>K72*$I$8*$B$4*(1+0.008*K72)^'Balance Controls'!$D$14</f>
        <v>460.95621119999998</v>
      </c>
      <c r="O72">
        <f t="shared" si="1"/>
        <v>6030.8879400682199</v>
      </c>
    </row>
    <row r="73" spans="11:15" x14ac:dyDescent="0.3">
      <c r="K73">
        <v>62</v>
      </c>
      <c r="L73" s="6">
        <f t="shared" si="0"/>
        <v>3391569.8111312548</v>
      </c>
      <c r="N73">
        <f>K73*$I$8*$B$4*(1+0.008*K73)^'Balance Controls'!$D$14</f>
        <v>471.03175679999998</v>
      </c>
      <c r="O73">
        <f t="shared" si="1"/>
        <v>7200.2996871637997</v>
      </c>
    </row>
    <row r="74" spans="11:15" x14ac:dyDescent="0.3">
      <c r="K74">
        <v>63</v>
      </c>
      <c r="L74" s="6">
        <f t="shared" si="0"/>
        <v>4137715.1695801313</v>
      </c>
      <c r="N74">
        <f>K74*$I$8*$B$4*(1+0.008*K74)^'Balance Controls'!$D$14</f>
        <v>481.18855679999996</v>
      </c>
      <c r="O74">
        <f t="shared" si="1"/>
        <v>8598.9475666187154</v>
      </c>
    </row>
    <row r="75" spans="11:15" x14ac:dyDescent="0.3">
      <c r="K75">
        <v>64</v>
      </c>
      <c r="L75" s="6">
        <f t="shared" ref="L75:L138" si="2">$I$6*($I$7^K75)</f>
        <v>5048012.5068877591</v>
      </c>
      <c r="N75">
        <f>K75*$I$8*$B$4*(1+0.008*K75)^'Balance Controls'!$D$14</f>
        <v>491.42661119999997</v>
      </c>
      <c r="O75">
        <f t="shared" ref="O75:O138" si="3">L75/N75</f>
        <v>10272.159447289938</v>
      </c>
    </row>
    <row r="76" spans="11:15" x14ac:dyDescent="0.3">
      <c r="K76">
        <v>65</v>
      </c>
      <c r="L76" s="6">
        <f t="shared" si="2"/>
        <v>6158575.2584030656</v>
      </c>
      <c r="N76">
        <f>K76*$I$8*$B$4*(1+0.008*K76)^'Balance Controls'!$D$14</f>
        <v>501.7459199999999</v>
      </c>
      <c r="O76">
        <f t="shared" si="3"/>
        <v>12274.290657715896</v>
      </c>
    </row>
    <row r="77" spans="11:15" x14ac:dyDescent="0.3">
      <c r="K77">
        <v>66</v>
      </c>
      <c r="L77" s="6">
        <f t="shared" si="2"/>
        <v>7513461.8152517416</v>
      </c>
      <c r="N77">
        <f>K77*$I$8*$B$4*(1+0.008*K77)^'Balance Controls'!$D$14</f>
        <v>512.14648320000003</v>
      </c>
      <c r="O77">
        <f t="shared" si="3"/>
        <v>14670.53286845989</v>
      </c>
    </row>
    <row r="78" spans="11:15" x14ac:dyDescent="0.3">
      <c r="K78">
        <v>67</v>
      </c>
      <c r="L78" s="6">
        <f t="shared" si="2"/>
        <v>9166423.4146071225</v>
      </c>
      <c r="N78">
        <f>K78*$I$8*$B$4*(1+0.008*K78)^'Balance Controls'!$D$14</f>
        <v>522.62830080000003</v>
      </c>
      <c r="O78">
        <f t="shared" si="3"/>
        <v>17539.087340995218</v>
      </c>
    </row>
    <row r="79" spans="11:15" x14ac:dyDescent="0.3">
      <c r="K79">
        <v>68</v>
      </c>
      <c r="L79" s="6">
        <f t="shared" si="2"/>
        <v>11183036.565820688</v>
      </c>
      <c r="N79">
        <f>K79*$I$8*$B$4*(1+0.008*K79)^'Balance Controls'!$D$14</f>
        <v>533.19137279999995</v>
      </c>
      <c r="O79">
        <f t="shared" si="3"/>
        <v>20973.776276788041</v>
      </c>
    </row>
    <row r="80" spans="11:15" x14ac:dyDescent="0.3">
      <c r="K80">
        <v>69</v>
      </c>
      <c r="L80" s="6">
        <f t="shared" si="2"/>
        <v>13643304.610301241</v>
      </c>
      <c r="N80">
        <f>K80*$I$8*$B$4*(1+0.008*K80)^'Balance Controls'!$D$14</f>
        <v>543.83569919999991</v>
      </c>
      <c r="O80">
        <f t="shared" si="3"/>
        <v>25087.180981996931</v>
      </c>
    </row>
    <row r="81" spans="11:15" x14ac:dyDescent="0.3">
      <c r="K81">
        <v>70</v>
      </c>
      <c r="L81" s="6">
        <f t="shared" si="2"/>
        <v>16644831.624567514</v>
      </c>
      <c r="N81">
        <f>K81*$I$8*$B$4*(1+0.008*K81)^'Balance Controls'!$D$14</f>
        <v>554.5612799999999</v>
      </c>
      <c r="O81">
        <f t="shared" si="3"/>
        <v>30014.413600184125</v>
      </c>
    </row>
    <row r="82" spans="11:15" x14ac:dyDescent="0.3">
      <c r="K82">
        <v>71</v>
      </c>
      <c r="L82" s="6">
        <f t="shared" si="2"/>
        <v>20306694.581972364</v>
      </c>
      <c r="N82">
        <f>K82*$I$8*$B$4*(1+0.008*K82)^'Balance Controls'!$D$14</f>
        <v>565.36811520000003</v>
      </c>
      <c r="O82">
        <f t="shared" si="3"/>
        <v>35917.650882715294</v>
      </c>
    </row>
    <row r="83" spans="11:15" x14ac:dyDescent="0.3">
      <c r="K83">
        <v>72</v>
      </c>
      <c r="L83" s="6">
        <f t="shared" si="2"/>
        <v>24774167.390006285</v>
      </c>
      <c r="N83">
        <f>K83*$I$8*$B$4*(1+0.008*K83)^'Balance Controls'!$D$14</f>
        <v>576.25620479999998</v>
      </c>
      <c r="O83">
        <f t="shared" si="3"/>
        <v>42991.584617478613</v>
      </c>
    </row>
    <row r="84" spans="11:15" x14ac:dyDescent="0.3">
      <c r="K84">
        <v>73</v>
      </c>
      <c r="L84" s="6">
        <f t="shared" si="2"/>
        <v>30224484.215807669</v>
      </c>
      <c r="N84">
        <f>K84*$I$8*$B$4*(1+0.008*K84)^'Balance Controls'!$D$14</f>
        <v>587.22554879999996</v>
      </c>
      <c r="O84">
        <f t="shared" si="3"/>
        <v>51469.974829214501</v>
      </c>
    </row>
    <row r="85" spans="11:15" x14ac:dyDescent="0.3">
      <c r="K85">
        <v>74</v>
      </c>
      <c r="L85" s="6">
        <f t="shared" si="2"/>
        <v>36873870.743285351</v>
      </c>
      <c r="N85">
        <f>K85*$I$8*$B$4*(1+0.008*K85)^'Balance Controls'!$D$14</f>
        <v>598.27614719999997</v>
      </c>
      <c r="O85">
        <f t="shared" si="3"/>
        <v>61633.529793656715</v>
      </c>
    </row>
    <row r="86" spans="11:15" x14ac:dyDescent="0.3">
      <c r="K86">
        <v>75</v>
      </c>
      <c r="L86" s="6">
        <f t="shared" si="2"/>
        <v>44986122.306808122</v>
      </c>
      <c r="N86">
        <f>K86*$I$8*$B$4*(1+0.008*K86)^'Balance Controls'!$D$14</f>
        <v>609.40800000000002</v>
      </c>
      <c r="O86">
        <f t="shared" si="3"/>
        <v>73819.382592299604</v>
      </c>
    </row>
    <row r="87" spans="11:15" x14ac:dyDescent="0.3">
      <c r="K87">
        <v>76</v>
      </c>
      <c r="L87" s="6">
        <f t="shared" si="2"/>
        <v>54883069.214305907</v>
      </c>
      <c r="N87">
        <f>K87*$I$8*$B$4*(1+0.008*K87)^'Balance Controls'!$D$14</f>
        <v>620.62110719999998</v>
      </c>
      <c r="O87">
        <f t="shared" si="3"/>
        <v>88432.488965637793</v>
      </c>
    </row>
    <row r="88" spans="11:15" x14ac:dyDescent="0.3">
      <c r="K88">
        <v>77</v>
      </c>
      <c r="L88" s="6">
        <f t="shared" si="2"/>
        <v>66957344.441453204</v>
      </c>
      <c r="N88">
        <f>K88*$I$8*$B$4*(1+0.008*K88)^'Balance Controls'!$D$14</f>
        <v>631.91546879999999</v>
      </c>
      <c r="O88">
        <f t="shared" si="3"/>
        <v>105959.33751804559</v>
      </c>
    </row>
    <row r="89" spans="11:15" x14ac:dyDescent="0.3">
      <c r="K89">
        <v>78</v>
      </c>
      <c r="L89" s="6">
        <f t="shared" si="2"/>
        <v>81687960.2185729</v>
      </c>
      <c r="N89">
        <f>K89*$I$8*$B$4*(1+0.008*K89)^'Balance Controls'!$D$14</f>
        <v>643.29108480000002</v>
      </c>
      <c r="O89">
        <f t="shared" si="3"/>
        <v>126984.44319956616</v>
      </c>
    </row>
    <row r="90" spans="11:15" x14ac:dyDescent="0.3">
      <c r="K90">
        <v>79</v>
      </c>
      <c r="L90" s="6">
        <f t="shared" si="2"/>
        <v>99659311.46665895</v>
      </c>
      <c r="N90">
        <f>K90*$I$8*$B$4*(1+0.008*K90)^'Balance Controls'!$D$14</f>
        <v>654.74795519999998</v>
      </c>
      <c r="O90">
        <f t="shared" si="3"/>
        <v>152210.19122727448</v>
      </c>
    </row>
    <row r="91" spans="11:15" x14ac:dyDescent="0.3">
      <c r="K91">
        <v>80</v>
      </c>
      <c r="L91" s="6">
        <f t="shared" si="2"/>
        <v>121584359.9893239</v>
      </c>
      <c r="N91">
        <f>K91*$I$8*$B$4*(1+0.008*K91)^'Balance Controls'!$D$14</f>
        <v>666.28608000000008</v>
      </c>
      <c r="O91">
        <f t="shared" si="3"/>
        <v>182480.71457432202</v>
      </c>
    </row>
    <row r="92" spans="11:15" x14ac:dyDescent="0.3">
      <c r="K92">
        <v>81</v>
      </c>
      <c r="L92" s="6">
        <f t="shared" si="2"/>
        <v>148332919.18697515</v>
      </c>
      <c r="N92">
        <f>K92*$I$8*$B$4*(1+0.008*K92)^'Balance Controls'!$D$14</f>
        <v>677.9054592</v>
      </c>
      <c r="O92">
        <f t="shared" si="3"/>
        <v>218810.6279038137</v>
      </c>
    </row>
    <row r="93" spans="11:15" x14ac:dyDescent="0.3">
      <c r="K93">
        <v>82</v>
      </c>
      <c r="L93" s="6">
        <f t="shared" si="2"/>
        <v>180966161.40810969</v>
      </c>
      <c r="N93">
        <f>K93*$I$8*$B$4*(1+0.008*K93)^'Balance Controls'!$D$14</f>
        <v>689.60609280000006</v>
      </c>
      <c r="O93">
        <f t="shared" si="3"/>
        <v>262419.60924871586</v>
      </c>
    </row>
    <row r="94" spans="11:15" x14ac:dyDescent="0.3">
      <c r="K94">
        <v>83</v>
      </c>
      <c r="L94" s="6">
        <f t="shared" si="2"/>
        <v>220778716.9178938</v>
      </c>
      <c r="N94">
        <f>K94*$I$8*$B$4*(1+0.008*K94)^'Balance Controls'!$D$14</f>
        <v>701.38798080000004</v>
      </c>
      <c r="O94">
        <f t="shared" si="3"/>
        <v>314774.02373800956</v>
      </c>
    </row>
    <row r="95" spans="11:15" x14ac:dyDescent="0.3">
      <c r="K95">
        <v>84</v>
      </c>
      <c r="L95" s="6">
        <f t="shared" si="2"/>
        <v>269350034.63983041</v>
      </c>
      <c r="N95">
        <f>K95*$I$8*$B$4*(1+0.008*K95)^'Balance Controls'!$D$14</f>
        <v>713.25112319999994</v>
      </c>
      <c r="O95">
        <f t="shared" si="3"/>
        <v>377637.02836021053</v>
      </c>
    </row>
    <row r="96" spans="11:15" x14ac:dyDescent="0.3">
      <c r="K96">
        <v>85</v>
      </c>
      <c r="L96" s="6">
        <f t="shared" si="2"/>
        <v>328607042.26059306</v>
      </c>
      <c r="N96">
        <f>K96*$I$8*$B$4*(1+0.008*K96)^'Balance Controls'!$D$14</f>
        <v>725.1955200000001</v>
      </c>
      <c r="O96">
        <f t="shared" si="3"/>
        <v>453128.89172370097</v>
      </c>
    </row>
    <row r="97" spans="11:15" x14ac:dyDescent="0.3">
      <c r="K97">
        <v>86</v>
      </c>
      <c r="L97" s="6">
        <f t="shared" si="2"/>
        <v>400900591.55792356</v>
      </c>
      <c r="N97">
        <f>K97*$I$8*$B$4*(1+0.008*K97)^'Balance Controls'!$D$14</f>
        <v>737.22117120000007</v>
      </c>
      <c r="O97">
        <f t="shared" si="3"/>
        <v>543799.6183768895</v>
      </c>
    </row>
    <row r="98" spans="11:15" x14ac:dyDescent="0.3">
      <c r="K98">
        <v>87</v>
      </c>
      <c r="L98" s="6">
        <f t="shared" si="2"/>
        <v>489098721.70066679</v>
      </c>
      <c r="N98">
        <f>K98*$I$8*$B$4*(1+0.008*K98)^'Balance Controls'!$D$14</f>
        <v>749.32807679999996</v>
      </c>
      <c r="O98">
        <f t="shared" si="3"/>
        <v>652716.39598686772</v>
      </c>
    </row>
    <row r="99" spans="11:15" x14ac:dyDescent="0.3">
      <c r="K99">
        <v>88</v>
      </c>
      <c r="L99" s="6">
        <f t="shared" si="2"/>
        <v>596700440.47481334</v>
      </c>
      <c r="N99">
        <f>K99*$I$8*$B$4*(1+0.008*K99)^'Balance Controls'!$D$14</f>
        <v>761.51623679999989</v>
      </c>
      <c r="O99">
        <f t="shared" si="3"/>
        <v>783568.90062152047</v>
      </c>
    </row>
    <row r="100" spans="11:15" x14ac:dyDescent="0.3">
      <c r="K100">
        <v>89</v>
      </c>
      <c r="L100" s="6">
        <f t="shared" si="2"/>
        <v>727974537.37927234</v>
      </c>
      <c r="N100">
        <f>K100*$I$8*$B$4*(1+0.008*K100)^'Balance Controls'!$D$14</f>
        <v>773.78565119999985</v>
      </c>
      <c r="O100">
        <f t="shared" si="3"/>
        <v>940796.11873174063</v>
      </c>
    </row>
    <row r="101" spans="11:15" x14ac:dyDescent="0.3">
      <c r="K101">
        <v>90</v>
      </c>
      <c r="L101" s="6">
        <f t="shared" si="2"/>
        <v>888128935.60271227</v>
      </c>
      <c r="N101">
        <f>K101*$I$8*$B$4*(1+0.008*K101)^'Balance Controls'!$D$14</f>
        <v>786.13631999999996</v>
      </c>
      <c r="O101">
        <f t="shared" si="3"/>
        <v>1129739.0961439263</v>
      </c>
    </row>
    <row r="102" spans="11:15" x14ac:dyDescent="0.3">
      <c r="K102">
        <v>91</v>
      </c>
      <c r="L102" s="6">
        <f t="shared" si="2"/>
        <v>1083517301.4353087</v>
      </c>
      <c r="N102">
        <f>K102*$I$8*$B$4*(1+0.008*K102)^'Balance Controls'!$D$14</f>
        <v>798.56824319999998</v>
      </c>
      <c r="O102">
        <f t="shared" si="3"/>
        <v>1356824.9309457499</v>
      </c>
    </row>
    <row r="103" spans="11:15" x14ac:dyDescent="0.3">
      <c r="K103">
        <v>92</v>
      </c>
      <c r="L103" s="6">
        <f t="shared" si="2"/>
        <v>1321891107.7510767</v>
      </c>
      <c r="N103">
        <f>K103*$I$8*$B$4*(1+0.008*K103)^'Balance Controls'!$D$14</f>
        <v>811.08142079999993</v>
      </c>
      <c r="O103">
        <f t="shared" si="3"/>
        <v>1629788.420559857</v>
      </c>
    </row>
    <row r="104" spans="11:15" x14ac:dyDescent="0.3">
      <c r="K104">
        <v>93</v>
      </c>
      <c r="L104" s="6">
        <f t="shared" si="2"/>
        <v>1612707151.4563134</v>
      </c>
      <c r="N104">
        <f>K104*$I$8*$B$4*(1+0.008*K104)^'Balance Controls'!$D$14</f>
        <v>823.67585279999992</v>
      </c>
      <c r="O104">
        <f t="shared" si="3"/>
        <v>1957939.0921490341</v>
      </c>
    </row>
    <row r="105" spans="11:15" x14ac:dyDescent="0.3">
      <c r="K105">
        <v>94</v>
      </c>
      <c r="L105" s="6">
        <f t="shared" si="2"/>
        <v>1967502724.7767022</v>
      </c>
      <c r="N105">
        <f>K105*$I$8*$B$4*(1+0.008*K105)^'Balance Controls'!$D$14</f>
        <v>836.35153919999993</v>
      </c>
      <c r="O105">
        <f t="shared" si="3"/>
        <v>2352482.9363722922</v>
      </c>
    </row>
    <row r="106" spans="11:15" x14ac:dyDescent="0.3">
      <c r="K106">
        <v>95</v>
      </c>
      <c r="L106" s="6">
        <f t="shared" si="2"/>
        <v>2400353324.2275772</v>
      </c>
      <c r="N106">
        <f>K106*$I$8*$B$4*(1+0.008*K106)^'Balance Controls'!$D$14</f>
        <v>849.10847999999999</v>
      </c>
      <c r="O106">
        <f t="shared" si="3"/>
        <v>2826910.0836533597</v>
      </c>
    </row>
    <row r="107" spans="11:15" x14ac:dyDescent="0.3">
      <c r="K107">
        <v>96</v>
      </c>
      <c r="L107" s="6">
        <f t="shared" si="2"/>
        <v>2928431055.5576434</v>
      </c>
      <c r="N107">
        <f>K107*$I$8*$B$4*(1+0.008*K107)^'Balance Controls'!$D$14</f>
        <v>861.94667519999996</v>
      </c>
      <c r="O107">
        <f t="shared" si="3"/>
        <v>3397461.9774223864</v>
      </c>
    </row>
    <row r="108" spans="11:15" x14ac:dyDescent="0.3">
      <c r="K108">
        <v>97</v>
      </c>
      <c r="L108" s="6">
        <f t="shared" si="2"/>
        <v>3572685887.7803249</v>
      </c>
      <c r="N108">
        <f>K108*$I$8*$B$4*(1+0.008*K108)^'Balance Controls'!$D$14</f>
        <v>874.86612479999997</v>
      </c>
      <c r="O108">
        <f t="shared" si="3"/>
        <v>4083694.3922100812</v>
      </c>
    </row>
    <row r="109" spans="11:15" x14ac:dyDescent="0.3">
      <c r="K109">
        <v>98</v>
      </c>
      <c r="L109" s="6">
        <f t="shared" si="2"/>
        <v>4358676783.0919962</v>
      </c>
      <c r="N109">
        <f>K109*$I$8*$B$4*(1+0.008*K109)^'Balance Controls'!$D$14</f>
        <v>887.86682879999989</v>
      </c>
      <c r="O109">
        <f t="shared" si="3"/>
        <v>4909156.0149656497</v>
      </c>
    </row>
    <row r="110" spans="11:15" x14ac:dyDescent="0.3">
      <c r="K110">
        <v>99</v>
      </c>
      <c r="L110" s="6">
        <f t="shared" si="2"/>
        <v>5317585675.3722353</v>
      </c>
      <c r="N110">
        <f>K110*$I$8*$B$4*(1+0.008*K110)^'Balance Controls'!$D$14</f>
        <v>900.94878719999986</v>
      </c>
      <c r="O110">
        <f t="shared" si="3"/>
        <v>5902206.3750131838</v>
      </c>
    </row>
    <row r="111" spans="11:15" x14ac:dyDescent="0.3">
      <c r="K111">
        <v>100</v>
      </c>
      <c r="L111" s="6">
        <f t="shared" si="2"/>
        <v>6487454523.9541264</v>
      </c>
      <c r="N111">
        <f>K111*$I$8*$B$4*(1+0.008*K111)^'Balance Controls'!$D$14</f>
        <v>914.11199999999997</v>
      </c>
      <c r="O111">
        <f t="shared" si="3"/>
        <v>7097001.815919851</v>
      </c>
    </row>
    <row r="112" spans="11:15" x14ac:dyDescent="0.3">
      <c r="K112">
        <v>101</v>
      </c>
      <c r="L112" s="6">
        <f t="shared" si="2"/>
        <v>7914694519.2240343</v>
      </c>
      <c r="N112">
        <f>K112*$I$8*$B$4*(1+0.008*K112)^'Balance Controls'!$D$14</f>
        <v>927.35646719999988</v>
      </c>
      <c r="O112">
        <f t="shared" si="3"/>
        <v>8534684.1254271418</v>
      </c>
    </row>
    <row r="113" spans="11:15" x14ac:dyDescent="0.3">
      <c r="K113">
        <v>102</v>
      </c>
      <c r="L113" s="6">
        <f t="shared" si="2"/>
        <v>9655927313.4533195</v>
      </c>
      <c r="N113">
        <f>K113*$I$8*$B$4*(1+0.008*K113)^'Balance Controls'!$D$14</f>
        <v>940.68218880000006</v>
      </c>
      <c r="O113">
        <f t="shared" si="3"/>
        <v>10264813.587861268</v>
      </c>
    </row>
    <row r="114" spans="11:15" x14ac:dyDescent="0.3">
      <c r="K114">
        <v>103</v>
      </c>
      <c r="L114" s="6">
        <f t="shared" si="2"/>
        <v>11780231322.413052</v>
      </c>
      <c r="N114">
        <f>K114*$I$8*$B$4*(1+0.008*K114)^'Balance Controls'!$D$14</f>
        <v>954.08916480000005</v>
      </c>
      <c r="O114">
        <f t="shared" si="3"/>
        <v>12347096.851144379</v>
      </c>
    </row>
    <row r="115" spans="11:15" x14ac:dyDescent="0.3">
      <c r="K115">
        <v>104</v>
      </c>
      <c r="L115" s="6">
        <f t="shared" si="2"/>
        <v>14371882213.34392</v>
      </c>
      <c r="N115">
        <f>K115*$I$8*$B$4*(1+0.008*K115)^'Balance Controls'!$D$14</f>
        <v>967.57739519999996</v>
      </c>
      <c r="O115">
        <f t="shared" si="3"/>
        <v>14853470.414501805</v>
      </c>
    </row>
    <row r="116" spans="11:15" x14ac:dyDescent="0.3">
      <c r="K116">
        <v>105</v>
      </c>
      <c r="L116" s="6">
        <f t="shared" si="2"/>
        <v>17533696300.279583</v>
      </c>
      <c r="N116">
        <f>K116*$I$8*$B$4*(1+0.008*K116)^'Balance Controls'!$D$14</f>
        <v>981.1468799999999</v>
      </c>
      <c r="O116">
        <f t="shared" si="3"/>
        <v>17870613.113787394</v>
      </c>
    </row>
    <row r="117" spans="11:15" x14ac:dyDescent="0.3">
      <c r="K117">
        <v>106</v>
      </c>
      <c r="L117" s="6">
        <f t="shared" si="2"/>
        <v>21391109486.341087</v>
      </c>
      <c r="N117">
        <f>K117*$I$8*$B$4*(1+0.008*K117)^'Balance Controls'!$D$14</f>
        <v>994.79761919999987</v>
      </c>
      <c r="O117">
        <f t="shared" si="3"/>
        <v>21502976.15664126</v>
      </c>
    </row>
    <row r="118" spans="11:15" x14ac:dyDescent="0.3">
      <c r="K118">
        <v>107</v>
      </c>
      <c r="L118" s="6">
        <f t="shared" si="2"/>
        <v>26097153573.336132</v>
      </c>
      <c r="N118">
        <f>K118*$I$8*$B$4*(1+0.008*K118)^'Balance Controls'!$D$14</f>
        <v>1008.5296127999999</v>
      </c>
      <c r="O118">
        <f t="shared" si="3"/>
        <v>25876437.58013422</v>
      </c>
    </row>
    <row r="119" spans="11:15" x14ac:dyDescent="0.3">
      <c r="K119">
        <v>108</v>
      </c>
      <c r="L119" s="6">
        <f t="shared" si="2"/>
        <v>31838527359.470074</v>
      </c>
      <c r="N119">
        <f>K119*$I$8*$B$4*(1+0.008*K119)^'Balance Controls'!$D$14</f>
        <v>1022.3428607999998</v>
      </c>
      <c r="O119">
        <f t="shared" si="3"/>
        <v>31142710.122273374</v>
      </c>
    </row>
    <row r="120" spans="11:15" x14ac:dyDescent="0.3">
      <c r="K120">
        <v>109</v>
      </c>
      <c r="L120" s="6">
        <f t="shared" si="2"/>
        <v>38843003378.55349</v>
      </c>
      <c r="N120">
        <f>K120*$I$8*$B$4*(1+0.008*K120)^'Balance Controls'!$D$14</f>
        <v>1036.2373631999999</v>
      </c>
      <c r="O120">
        <f t="shared" si="3"/>
        <v>37484658.204759754</v>
      </c>
    </row>
    <row r="121" spans="11:15" x14ac:dyDescent="0.3">
      <c r="K121">
        <v>110</v>
      </c>
      <c r="L121" s="6">
        <f t="shared" si="2"/>
        <v>47388464121.835258</v>
      </c>
      <c r="N121">
        <f>K121*$I$8*$B$4*(1+0.008*K121)^'Balance Controls'!$D$14</f>
        <v>1050.2131199999997</v>
      </c>
      <c r="O121">
        <f t="shared" si="3"/>
        <v>45122711.970914319</v>
      </c>
    </row>
    <row r="122" spans="11:15" x14ac:dyDescent="0.3">
      <c r="K122">
        <v>111</v>
      </c>
      <c r="L122" s="6">
        <f t="shared" si="2"/>
        <v>57813926228.639015</v>
      </c>
      <c r="N122">
        <f>K122*$I$8*$B$4*(1+0.008*K122)^'Balance Controls'!$D$14</f>
        <v>1064.2701311999997</v>
      </c>
      <c r="O122">
        <f t="shared" si="3"/>
        <v>54322605.261365272</v>
      </c>
    </row>
    <row r="123" spans="11:15" x14ac:dyDescent="0.3">
      <c r="K123">
        <v>112</v>
      </c>
      <c r="L123" s="6">
        <f t="shared" si="2"/>
        <v>70532989998.93959</v>
      </c>
      <c r="N123">
        <f>K123*$I$8*$B$4*(1+0.008*K123)^'Balance Controls'!$D$14</f>
        <v>1078.4083968</v>
      </c>
      <c r="O123">
        <f t="shared" si="3"/>
        <v>65404711.432361491</v>
      </c>
    </row>
    <row r="124" spans="11:15" x14ac:dyDescent="0.3">
      <c r="K124">
        <v>113</v>
      </c>
      <c r="L124" s="6">
        <f t="shared" si="2"/>
        <v>86050247798.706299</v>
      </c>
      <c r="N124">
        <f>K124*$I$8*$B$4*(1+0.008*K124)^'Balance Controls'!$D$14</f>
        <v>1092.6279167999999</v>
      </c>
      <c r="O124">
        <f t="shared" si="3"/>
        <v>78755307.708705902</v>
      </c>
    </row>
    <row r="125" spans="11:15" x14ac:dyDescent="0.3">
      <c r="K125">
        <v>114</v>
      </c>
      <c r="L125" s="6">
        <f t="shared" si="2"/>
        <v>104981302314.42168</v>
      </c>
      <c r="N125">
        <f>K125*$I$8*$B$4*(1+0.008*K125)^'Balance Controls'!$D$14</f>
        <v>1106.9286912</v>
      </c>
      <c r="O125">
        <f t="shared" si="3"/>
        <v>94840167.346835569</v>
      </c>
    </row>
    <row r="126" spans="11:15" x14ac:dyDescent="0.3">
      <c r="K126">
        <v>115</v>
      </c>
      <c r="L126" s="6">
        <f t="shared" si="2"/>
        <v>128077188823.59444</v>
      </c>
      <c r="N126">
        <f>K126*$I$8*$B$4*(1+0.008*K126)^'Balance Controls'!$D$14</f>
        <v>1121.3107199999999</v>
      </c>
      <c r="O126">
        <f t="shared" si="3"/>
        <v>114220961.71843825</v>
      </c>
    </row>
    <row r="127" spans="11:15" x14ac:dyDescent="0.3">
      <c r="K127">
        <v>116</v>
      </c>
      <c r="L127" s="6">
        <f t="shared" si="2"/>
        <v>156254170364.78519</v>
      </c>
      <c r="N127">
        <f>K127*$I$8*$B$4*(1+0.008*K127)^'Balance Controls'!$D$14</f>
        <v>1135.7740031999999</v>
      </c>
      <c r="O127">
        <f t="shared" si="3"/>
        <v>137575054.4778671</v>
      </c>
    </row>
    <row r="128" spans="11:15" x14ac:dyDescent="0.3">
      <c r="K128">
        <v>117</v>
      </c>
      <c r="L128" s="6">
        <f t="shared" si="2"/>
        <v>190630087845.03793</v>
      </c>
      <c r="N128">
        <f>K128*$I$8*$B$4*(1+0.008*K128)^'Balance Controls'!$D$14</f>
        <v>1150.3185407999999</v>
      </c>
      <c r="O128">
        <f t="shared" si="3"/>
        <v>165719390.83278832</v>
      </c>
    </row>
    <row r="129" spans="11:15" x14ac:dyDescent="0.3">
      <c r="K129">
        <v>118</v>
      </c>
      <c r="L129" s="6">
        <f t="shared" si="2"/>
        <v>232568707170.94629</v>
      </c>
      <c r="N129">
        <f>K129*$I$8*$B$4*(1+0.008*K129)^'Balance Controls'!$D$14</f>
        <v>1164.9443327999998</v>
      </c>
      <c r="O129">
        <f t="shared" si="3"/>
        <v>199639330.93005073</v>
      </c>
    </row>
    <row r="130" spans="11:15" x14ac:dyDescent="0.3">
      <c r="K130">
        <v>119</v>
      </c>
      <c r="L130" s="6">
        <f t="shared" si="2"/>
        <v>283733822748.5545</v>
      </c>
      <c r="N130">
        <f>K130*$I$8*$B$4*(1+0.008*K130)^'Balance Controls'!$D$14</f>
        <v>1179.6513791999998</v>
      </c>
      <c r="O130">
        <f t="shared" si="3"/>
        <v>240523452.73480144</v>
      </c>
    </row>
    <row r="131" spans="11:15" x14ac:dyDescent="0.3">
      <c r="K131">
        <v>120</v>
      </c>
      <c r="L131" s="6">
        <f t="shared" si="2"/>
        <v>346155263753.23645</v>
      </c>
      <c r="N131">
        <f>K131*$I$8*$B$4*(1+0.008*K131)^'Balance Controls'!$D$14</f>
        <v>1194.4396799999997</v>
      </c>
      <c r="O131">
        <f t="shared" si="3"/>
        <v>289805562.85038733</v>
      </c>
    </row>
    <row r="132" spans="11:15" x14ac:dyDescent="0.3">
      <c r="K132">
        <v>121</v>
      </c>
      <c r="L132" s="6">
        <f t="shared" si="2"/>
        <v>422309421778.94843</v>
      </c>
      <c r="N132">
        <f>K132*$I$8*$B$4*(1+0.008*K132)^'Balance Controls'!$D$14</f>
        <v>1209.3092351999999</v>
      </c>
      <c r="O132">
        <f t="shared" si="3"/>
        <v>349215411.15090001</v>
      </c>
    </row>
    <row r="133" spans="11:15" x14ac:dyDescent="0.3">
      <c r="K133">
        <v>122</v>
      </c>
      <c r="L133" s="6">
        <f t="shared" si="2"/>
        <v>515217494570.31708</v>
      </c>
      <c r="N133">
        <f>K133*$I$8*$B$4*(1+0.008*K133)^'Balance Controls'!$D$14</f>
        <v>1224.2600448000001</v>
      </c>
      <c r="O133">
        <f t="shared" si="3"/>
        <v>420839916.12622219</v>
      </c>
    </row>
    <row r="134" spans="11:15" x14ac:dyDescent="0.3">
      <c r="K134">
        <v>123</v>
      </c>
      <c r="L134" s="6">
        <f t="shared" si="2"/>
        <v>628565343375.78674</v>
      </c>
      <c r="N134">
        <f>K134*$I$8*$B$4*(1+0.008*K134)^'Balance Controls'!$D$14</f>
        <v>1239.2921088000001</v>
      </c>
      <c r="O134">
        <f t="shared" si="3"/>
        <v>507197083.6515882</v>
      </c>
    </row>
    <row r="135" spans="11:15" x14ac:dyDescent="0.3">
      <c r="K135">
        <v>124</v>
      </c>
      <c r="L135" s="6">
        <f t="shared" si="2"/>
        <v>766849718918.45984</v>
      </c>
      <c r="N135">
        <f>K135*$I$8*$B$4*(1+0.008*K135)^'Balance Controls'!$D$14</f>
        <v>1254.4054271999998</v>
      </c>
      <c r="O135">
        <f t="shared" si="3"/>
        <v>611325256.00608301</v>
      </c>
    </row>
    <row r="136" spans="11:15" x14ac:dyDescent="0.3">
      <c r="K136">
        <v>125</v>
      </c>
      <c r="L136" s="6">
        <f t="shared" si="2"/>
        <v>935556657080.521</v>
      </c>
      <c r="N136">
        <f>K136*$I$8*$B$4*(1+0.008*K136)^'Balance Controls'!$D$14</f>
        <v>1269.5999999999999</v>
      </c>
      <c r="O136">
        <f t="shared" si="3"/>
        <v>736890876.71748662</v>
      </c>
    </row>
    <row r="137" spans="11:15" x14ac:dyDescent="0.3">
      <c r="K137">
        <v>126</v>
      </c>
      <c r="L137" s="6">
        <f t="shared" si="2"/>
        <v>1141379121638.2354</v>
      </c>
      <c r="N137">
        <f>K137*$I$8*$B$4*(1+0.008*K137)^'Balance Controls'!$D$14</f>
        <v>1284.8758271999998</v>
      </c>
      <c r="O137">
        <f t="shared" si="3"/>
        <v>888318619.95997524</v>
      </c>
    </row>
    <row r="138" spans="11:15" x14ac:dyDescent="0.3">
      <c r="K138">
        <v>127</v>
      </c>
      <c r="L138" s="6">
        <f t="shared" si="2"/>
        <v>1392482528398.6472</v>
      </c>
      <c r="N138">
        <f>K138*$I$8*$B$4*(1+0.008*K138)^'Balance Controls'!$D$14</f>
        <v>1300.2329087999999</v>
      </c>
      <c r="O138">
        <f t="shared" si="3"/>
        <v>1070948534.6619827</v>
      </c>
    </row>
    <row r="139" spans="11:15" x14ac:dyDescent="0.3">
      <c r="K139">
        <v>128</v>
      </c>
      <c r="L139" s="6">
        <f t="shared" ref="L139:L202" si="4">$I$6*($I$7^K139)</f>
        <v>1698828684646.3496</v>
      </c>
      <c r="N139">
        <f>K139*$I$8*$B$4*(1+0.008*K139)^'Balance Controls'!$D$14</f>
        <v>1315.6712447999998</v>
      </c>
      <c r="O139">
        <f t="shared" ref="O139:O202" si="5">L139/N139</f>
        <v>1291225822.0742636</v>
      </c>
    </row>
    <row r="140" spans="11:15" x14ac:dyDescent="0.3">
      <c r="K140">
        <v>129</v>
      </c>
      <c r="L140" s="6">
        <f t="shared" si="4"/>
        <v>2072570995268.5464</v>
      </c>
      <c r="N140">
        <f>K140*$I$8*$B$4*(1+0.008*K140)^'Balance Controls'!$D$14</f>
        <v>1331.1908351999998</v>
      </c>
      <c r="O140">
        <f t="shared" si="5"/>
        <v>1556930036.2236648</v>
      </c>
    </row>
    <row r="141" spans="11:15" x14ac:dyDescent="0.3">
      <c r="K141">
        <v>130</v>
      </c>
      <c r="L141" s="6">
        <f t="shared" si="4"/>
        <v>2528536614227.6265</v>
      </c>
      <c r="N141">
        <f>K141*$I$8*$B$4*(1+0.008*K141)^'Balance Controls'!$D$14</f>
        <v>1346.7916799999998</v>
      </c>
      <c r="O141">
        <f t="shared" si="5"/>
        <v>1877451911.662854</v>
      </c>
    </row>
    <row r="142" spans="11:15" x14ac:dyDescent="0.3">
      <c r="K142">
        <v>131</v>
      </c>
      <c r="L142" s="6">
        <f t="shared" si="4"/>
        <v>3084814669357.7041</v>
      </c>
      <c r="N142">
        <f>K142*$I$8*$B$4*(1+0.008*K142)^'Balance Controls'!$D$14</f>
        <v>1362.4737792000001</v>
      </c>
      <c r="O142">
        <f t="shared" si="5"/>
        <v>2264127733.2830625</v>
      </c>
    </row>
    <row r="143" spans="11:15" x14ac:dyDescent="0.3">
      <c r="K143">
        <v>132</v>
      </c>
      <c r="L143" s="6">
        <f t="shared" si="4"/>
        <v>3763473896616.3984</v>
      </c>
      <c r="N143">
        <f>K143*$I$8*$B$4*(1+0.008*K143)^'Balance Controls'!$D$14</f>
        <v>1378.2371327999999</v>
      </c>
      <c r="O143">
        <f t="shared" si="5"/>
        <v>2730643230.4364038</v>
      </c>
    </row>
    <row r="144" spans="11:15" x14ac:dyDescent="0.3">
      <c r="K144">
        <v>133</v>
      </c>
      <c r="L144" s="6">
        <f t="shared" si="4"/>
        <v>4591438153872.0059</v>
      </c>
      <c r="N144">
        <f>K144*$I$8*$B$4*(1+0.008*K144)^'Balance Controls'!$D$14</f>
        <v>1394.0817408</v>
      </c>
      <c r="O144">
        <f t="shared" si="5"/>
        <v>3293521476.8950267</v>
      </c>
    </row>
    <row r="145" spans="11:15" x14ac:dyDescent="0.3">
      <c r="K145">
        <v>134</v>
      </c>
      <c r="L145" s="6">
        <f t="shared" si="4"/>
        <v>5601554547723.8477</v>
      </c>
      <c r="N145">
        <f>K145*$I$8*$B$4*(1+0.008*K145)^'Balance Controls'!$D$14</f>
        <v>1410.0076031999999</v>
      </c>
      <c r="O145">
        <f t="shared" si="5"/>
        <v>3972712299.5728312</v>
      </c>
    </row>
    <row r="146" spans="11:15" x14ac:dyDescent="0.3">
      <c r="K146">
        <v>135</v>
      </c>
      <c r="L146" s="6">
        <f t="shared" si="4"/>
        <v>6833896548223.0938</v>
      </c>
      <c r="N146">
        <f>K146*$I$8*$B$4*(1+0.008*K146)^'Balance Controls'!$D$14</f>
        <v>1426.0147199999999</v>
      </c>
      <c r="O146">
        <f t="shared" si="5"/>
        <v>4792304351.6851597</v>
      </c>
    </row>
    <row r="147" spans="11:15" x14ac:dyDescent="0.3">
      <c r="K147">
        <v>136</v>
      </c>
      <c r="L147" s="6">
        <f t="shared" si="4"/>
        <v>8337353788832.1738</v>
      </c>
      <c r="N147">
        <f>K147*$I$8*$B$4*(1+0.008*K147)^'Balance Controls'!$D$14</f>
        <v>1442.1030911999999</v>
      </c>
      <c r="O147">
        <f t="shared" si="5"/>
        <v>5781385422.2408695</v>
      </c>
    </row>
    <row r="148" spans="11:15" x14ac:dyDescent="0.3">
      <c r="K148">
        <v>137</v>
      </c>
      <c r="L148" s="6">
        <f t="shared" si="4"/>
        <v>10171571622375.252</v>
      </c>
      <c r="N148">
        <f>K148*$I$8*$B$4*(1+0.008*K148)^'Balance Controls'!$D$14</f>
        <v>1458.2727167999999</v>
      </c>
      <c r="O148">
        <f t="shared" si="5"/>
        <v>6975081893.2521172</v>
      </c>
    </row>
    <row r="149" spans="11:15" x14ac:dyDescent="0.3">
      <c r="K149">
        <v>138</v>
      </c>
      <c r="L149" s="6">
        <f t="shared" si="4"/>
        <v>12409317379297.807</v>
      </c>
      <c r="N149">
        <f>K149*$I$8*$B$4*(1+0.008*K149)^'Balance Controls'!$D$14</f>
        <v>1474.5235968</v>
      </c>
      <c r="O149">
        <f t="shared" si="5"/>
        <v>8415814712.1066179</v>
      </c>
    </row>
    <row r="150" spans="11:15" x14ac:dyDescent="0.3">
      <c r="K150">
        <v>139</v>
      </c>
      <c r="L150" s="6">
        <f t="shared" si="4"/>
        <v>15139367202743.322</v>
      </c>
      <c r="N150">
        <f>K150*$I$8*$B$4*(1+0.008*K150)^'Balance Controls'!$D$14</f>
        <v>1490.8557311999998</v>
      </c>
      <c r="O150">
        <f t="shared" si="5"/>
        <v>10154817052.993816</v>
      </c>
    </row>
    <row r="151" spans="11:15" x14ac:dyDescent="0.3">
      <c r="K151">
        <v>140</v>
      </c>
      <c r="L151" s="6">
        <f t="shared" si="4"/>
        <v>18470027987346.855</v>
      </c>
      <c r="N151">
        <f>K151*$I$8*$B$4*(1+0.008*K151)^'Balance Controls'!$D$14</f>
        <v>1507.2691199999999</v>
      </c>
      <c r="O151">
        <f t="shared" si="5"/>
        <v>12253968280.957588</v>
      </c>
    </row>
    <row r="152" spans="11:15" x14ac:dyDescent="0.3">
      <c r="K152">
        <v>141</v>
      </c>
      <c r="L152" s="6">
        <f t="shared" si="4"/>
        <v>22533434144563.16</v>
      </c>
      <c r="N152">
        <f>K152*$I$8*$B$4*(1+0.008*K152)^'Balance Controls'!$D$14</f>
        <v>1523.7637632000001</v>
      </c>
      <c r="O152">
        <f t="shared" si="5"/>
        <v>14788010247.232502</v>
      </c>
    </row>
    <row r="153" spans="11:15" x14ac:dyDescent="0.3">
      <c r="K153">
        <v>142</v>
      </c>
      <c r="L153" s="6">
        <f t="shared" si="4"/>
        <v>27490789656367.055</v>
      </c>
      <c r="N153">
        <f>K153*$I$8*$B$4*(1+0.008*K153)^'Balance Controls'!$D$14</f>
        <v>1540.3396608</v>
      </c>
      <c r="O153">
        <f t="shared" si="5"/>
        <v>17847225748.955444</v>
      </c>
    </row>
    <row r="154" spans="11:15" x14ac:dyDescent="0.3">
      <c r="K154">
        <v>143</v>
      </c>
      <c r="L154" s="6">
        <f t="shared" si="4"/>
        <v>33538763380767.809</v>
      </c>
      <c r="N154">
        <f>K154*$I$8*$B$4*(1+0.008*K154)^'Balance Controls'!$D$14</f>
        <v>1556.9968128</v>
      </c>
      <c r="O154">
        <f t="shared" si="5"/>
        <v>21540675680.930851</v>
      </c>
    </row>
    <row r="155" spans="11:15" x14ac:dyDescent="0.3">
      <c r="K155">
        <v>144</v>
      </c>
      <c r="L155" s="6">
        <f t="shared" si="4"/>
        <v>40917291324536.719</v>
      </c>
      <c r="N155">
        <f>K155*$I$8*$B$4*(1+0.008*K155)^'Balance Controls'!$D$14</f>
        <v>1573.7352192000001</v>
      </c>
      <c r="O155">
        <f t="shared" si="5"/>
        <v>26000111597.767258</v>
      </c>
    </row>
    <row r="156" spans="11:15" x14ac:dyDescent="0.3">
      <c r="K156">
        <v>145</v>
      </c>
      <c r="L156" s="6">
        <f t="shared" si="4"/>
        <v>49919095415934.789</v>
      </c>
      <c r="N156">
        <f>K156*$I$8*$B$4*(1+0.008*K156)^'Balance Controls'!$D$14</f>
        <v>1590.5548799999999</v>
      </c>
      <c r="O156">
        <f t="shared" si="5"/>
        <v>31384704824.479111</v>
      </c>
    </row>
    <row r="157" spans="11:15" x14ac:dyDescent="0.3">
      <c r="K157">
        <v>146</v>
      </c>
      <c r="L157" s="6">
        <f t="shared" si="4"/>
        <v>60901296407440.445</v>
      </c>
      <c r="N157">
        <f>K157*$I$8*$B$4*(1+0.008*K157)^'Balance Controls'!$D$14</f>
        <v>1607.4557952</v>
      </c>
      <c r="O157">
        <f t="shared" si="5"/>
        <v>37886762789.55658</v>
      </c>
    </row>
    <row r="158" spans="11:15" x14ac:dyDescent="0.3">
      <c r="K158">
        <v>147</v>
      </c>
      <c r="L158" s="6">
        <f t="shared" si="4"/>
        <v>74299581617077.344</v>
      </c>
      <c r="N158">
        <f>K158*$I$8*$B$4*(1+0.008*K158)^'Balance Controls'!$D$14</f>
        <v>1624.4379647999999</v>
      </c>
      <c r="O158">
        <f t="shared" si="5"/>
        <v>45738638979.805595</v>
      </c>
    </row>
    <row r="159" spans="11:15" x14ac:dyDescent="0.3">
      <c r="K159">
        <v>148</v>
      </c>
      <c r="L159" s="6">
        <f t="shared" si="4"/>
        <v>90645489572834.359</v>
      </c>
      <c r="N159">
        <f>K159*$I$8*$B$4*(1+0.008*K159)^'Balance Controls'!$D$14</f>
        <v>1641.5013887999999</v>
      </c>
      <c r="O159">
        <f t="shared" si="5"/>
        <v>55221086129.631401</v>
      </c>
    </row>
    <row r="160" spans="11:15" x14ac:dyDescent="0.3">
      <c r="K160">
        <v>149</v>
      </c>
      <c r="L160" s="6">
        <f t="shared" si="4"/>
        <v>110587497278857.91</v>
      </c>
      <c r="N160">
        <f>K160*$I$8*$B$4*(1+0.008*K160)^'Balance Controls'!$D$14</f>
        <v>1658.6460671999998</v>
      </c>
      <c r="O160">
        <f t="shared" si="5"/>
        <v>66673354530.387131</v>
      </c>
    </row>
    <row r="161" spans="11:15" x14ac:dyDescent="0.3">
      <c r="K161">
        <v>150</v>
      </c>
      <c r="L161" s="6">
        <f t="shared" si="4"/>
        <v>134916746680206.66</v>
      </c>
      <c r="N161">
        <f>K161*$I$8*$B$4*(1+0.008*K161)^'Balance Controls'!$D$14</f>
        <v>1675.8720000000001</v>
      </c>
      <c r="O161">
        <f t="shared" si="5"/>
        <v>80505400579.642502</v>
      </c>
    </row>
    <row r="162" spans="11:15" x14ac:dyDescent="0.3">
      <c r="K162">
        <v>151</v>
      </c>
      <c r="L162" s="6">
        <f t="shared" si="4"/>
        <v>164598430949852.13</v>
      </c>
      <c r="N162">
        <f>K162*$I$8*$B$4*(1+0.008*K162)^'Balance Controls'!$D$14</f>
        <v>1693.1791872000001</v>
      </c>
      <c r="O162">
        <f t="shared" si="5"/>
        <v>97212647187.122314</v>
      </c>
    </row>
    <row r="163" spans="11:15" x14ac:dyDescent="0.3">
      <c r="K163">
        <v>152</v>
      </c>
      <c r="L163" s="6">
        <f t="shared" si="4"/>
        <v>200810085758819.53</v>
      </c>
      <c r="N163">
        <f>K163*$I$8*$B$4*(1+0.008*K163)^'Balance Controls'!$D$14</f>
        <v>1710.5676288</v>
      </c>
      <c r="O163">
        <f t="shared" si="5"/>
        <v>117393830198.74644</v>
      </c>
    </row>
    <row r="164" spans="11:15" x14ac:dyDescent="0.3">
      <c r="K164">
        <v>153</v>
      </c>
      <c r="L164" s="6">
        <f t="shared" si="4"/>
        <v>244988304625759.84</v>
      </c>
      <c r="N164">
        <f>K164*$I$8*$B$4*(1+0.008*K164)^'Balance Controls'!$D$14</f>
        <v>1728.0373248000001</v>
      </c>
      <c r="O164">
        <f t="shared" si="5"/>
        <v>141772576963.35602</v>
      </c>
    </row>
    <row r="165" spans="11:15" x14ac:dyDescent="0.3">
      <c r="K165">
        <v>154</v>
      </c>
      <c r="L165" s="6">
        <f t="shared" si="4"/>
        <v>298885731643427</v>
      </c>
      <c r="N165">
        <f>K165*$I$8*$B$4*(1+0.008*K165)^'Balance Controls'!$D$14</f>
        <v>1745.5882752</v>
      </c>
      <c r="O165">
        <f t="shared" si="5"/>
        <v>171223498627.80917</v>
      </c>
    </row>
    <row r="166" spans="11:15" x14ac:dyDescent="0.3">
      <c r="K166">
        <v>155</v>
      </c>
      <c r="L166" s="6">
        <f t="shared" si="4"/>
        <v>364640592604980.88</v>
      </c>
      <c r="N166">
        <f>K166*$I$8*$B$4*(1+0.008*K166)^'Balance Controls'!$D$14</f>
        <v>1763.22048</v>
      </c>
      <c r="O166">
        <f t="shared" si="5"/>
        <v>206803741642.66791</v>
      </c>
    </row>
    <row r="167" spans="11:15" x14ac:dyDescent="0.3">
      <c r="K167">
        <v>156</v>
      </c>
      <c r="L167" s="6">
        <f t="shared" si="4"/>
        <v>444861522978076.69</v>
      </c>
      <c r="N167">
        <f>K167*$I$8*$B$4*(1+0.008*K167)^'Balance Controls'!$D$14</f>
        <v>1780.9339391999999</v>
      </c>
      <c r="O167">
        <f t="shared" si="5"/>
        <v>249791142268.8197</v>
      </c>
    </row>
    <row r="168" spans="11:15" x14ac:dyDescent="0.3">
      <c r="K168">
        <v>157</v>
      </c>
      <c r="L168" s="6">
        <f t="shared" si="4"/>
        <v>542731058033253.5</v>
      </c>
      <c r="N168">
        <f>K168*$I$8*$B$4*(1+0.008*K168)^'Balance Controls'!$D$14</f>
        <v>1798.7286528</v>
      </c>
      <c r="O168">
        <f t="shared" si="5"/>
        <v>301730367828.63745</v>
      </c>
    </row>
    <row r="169" spans="11:15" x14ac:dyDescent="0.3">
      <c r="K169">
        <v>158</v>
      </c>
      <c r="L169" s="6">
        <f t="shared" si="4"/>
        <v>662131890800569.25</v>
      </c>
      <c r="N169">
        <f>K169*$I$8*$B$4*(1+0.008*K169)^'Balance Controls'!$D$14</f>
        <v>1816.6046208</v>
      </c>
      <c r="O169">
        <f t="shared" si="5"/>
        <v>364488718799.45911</v>
      </c>
    </row>
    <row r="170" spans="11:15" x14ac:dyDescent="0.3">
      <c r="K170">
        <v>159</v>
      </c>
      <c r="L170" s="6">
        <f t="shared" si="4"/>
        <v>807800906776694.5</v>
      </c>
      <c r="N170">
        <f>K170*$I$8*$B$4*(1+0.008*K170)^'Balance Controls'!$D$14</f>
        <v>1834.5618431999999</v>
      </c>
      <c r="O170">
        <f t="shared" si="5"/>
        <v>440323617200.96552</v>
      </c>
    </row>
    <row r="171" spans="11:15" x14ac:dyDescent="0.3">
      <c r="K171">
        <v>160</v>
      </c>
      <c r="L171" s="6">
        <f t="shared" si="4"/>
        <v>985517106267567.25</v>
      </c>
      <c r="N171">
        <f>K171*$I$8*$B$4*(1+0.008*K171)^'Balance Controls'!$D$14</f>
        <v>1852.6003200000002</v>
      </c>
      <c r="O171">
        <f t="shared" si="5"/>
        <v>531964231911.37476</v>
      </c>
    </row>
    <row r="172" spans="11:15" x14ac:dyDescent="0.3">
      <c r="K172">
        <v>161</v>
      </c>
      <c r="L172" s="6">
        <f t="shared" si="4"/>
        <v>1202330869646432</v>
      </c>
      <c r="N172">
        <f>K172*$I$8*$B$4*(1+0.008*K172)^'Balance Controls'!$D$14</f>
        <v>1870.7200512000002</v>
      </c>
      <c r="O172">
        <f t="shared" si="5"/>
        <v>642710206091.59534</v>
      </c>
    </row>
    <row r="173" spans="11:15" x14ac:dyDescent="0.3">
      <c r="K173">
        <v>162</v>
      </c>
      <c r="L173" s="6">
        <f t="shared" si="4"/>
        <v>1466843660968647</v>
      </c>
      <c r="N173">
        <f>K173*$I$8*$B$4*(1+0.008*K173)^'Balance Controls'!$D$14</f>
        <v>1888.9210368000001</v>
      </c>
      <c r="O173">
        <f t="shared" si="5"/>
        <v>776551074603.73804</v>
      </c>
    </row>
    <row r="174" spans="11:15" x14ac:dyDescent="0.3">
      <c r="K174">
        <v>163</v>
      </c>
      <c r="L174" s="6">
        <f t="shared" si="4"/>
        <v>1789549266381749.3</v>
      </c>
      <c r="N174">
        <f>K174*$I$8*$B$4*(1+0.008*K174)^'Balance Controls'!$D$14</f>
        <v>1907.2032768000001</v>
      </c>
      <c r="O174">
        <f t="shared" si="5"/>
        <v>938310712943.16541</v>
      </c>
    </row>
    <row r="175" spans="11:15" x14ac:dyDescent="0.3">
      <c r="K175">
        <v>164</v>
      </c>
      <c r="L175" s="6">
        <f t="shared" si="4"/>
        <v>2183250104985734</v>
      </c>
      <c r="N175">
        <f>K175*$I$8*$B$4*(1+0.008*K175)^'Balance Controls'!$D$14</f>
        <v>1925.5667712000002</v>
      </c>
      <c r="O175">
        <f t="shared" si="5"/>
        <v>1133822071319.3691</v>
      </c>
    </row>
    <row r="176" spans="11:15" x14ac:dyDescent="0.3">
      <c r="K176">
        <v>165</v>
      </c>
      <c r="L176" s="6">
        <f t="shared" si="4"/>
        <v>2663565128082595.5</v>
      </c>
      <c r="N176">
        <f>K176*$I$8*$B$4*(1+0.008*K176)^'Balance Controls'!$D$14</f>
        <v>1944.01152</v>
      </c>
      <c r="O176">
        <f t="shared" si="5"/>
        <v>1370138551484.8159</v>
      </c>
    </row>
    <row r="177" spans="11:15" x14ac:dyDescent="0.3">
      <c r="K177">
        <v>166</v>
      </c>
      <c r="L177" s="6">
        <f t="shared" si="4"/>
        <v>3249549456260765.5</v>
      </c>
      <c r="N177">
        <f>K177*$I$8*$B$4*(1+0.008*K177)^'Balance Controls'!$D$14</f>
        <v>1962.5375232000001</v>
      </c>
      <c r="O177">
        <f t="shared" si="5"/>
        <v>1655789720118.1855</v>
      </c>
    </row>
    <row r="178" spans="11:15" x14ac:dyDescent="0.3">
      <c r="K178">
        <v>167</v>
      </c>
      <c r="L178" s="6">
        <f t="shared" si="4"/>
        <v>3964450336638135</v>
      </c>
      <c r="N178">
        <f>K178*$I$8*$B$4*(1+0.008*K178)^'Balance Controls'!$D$14</f>
        <v>1981.1447808</v>
      </c>
      <c r="O178">
        <f t="shared" si="5"/>
        <v>2001090669929.364</v>
      </c>
    </row>
    <row r="179" spans="11:15" x14ac:dyDescent="0.3">
      <c r="K179">
        <v>168</v>
      </c>
      <c r="L179" s="6">
        <f t="shared" si="4"/>
        <v>4836629410698523</v>
      </c>
      <c r="N179">
        <f>K179*$I$8*$B$4*(1+0.008*K179)^'Balance Controls'!$D$14</f>
        <v>1999.8332928</v>
      </c>
      <c r="O179">
        <f t="shared" si="5"/>
        <v>2418516297389.3076</v>
      </c>
    </row>
    <row r="180" spans="11:15" x14ac:dyDescent="0.3">
      <c r="K180">
        <v>169</v>
      </c>
      <c r="L180" s="6">
        <f t="shared" si="4"/>
        <v>5900687881052198</v>
      </c>
      <c r="N180">
        <f>K180*$I$8*$B$4*(1+0.008*K180)^'Balance Controls'!$D$14</f>
        <v>2018.6030592</v>
      </c>
      <c r="O180">
        <f t="shared" si="5"/>
        <v>2923154135806.5322</v>
      </c>
    </row>
    <row r="181" spans="11:15" x14ac:dyDescent="0.3">
      <c r="K181">
        <v>170</v>
      </c>
      <c r="L181" s="6">
        <f t="shared" si="4"/>
        <v>7198839214883681</v>
      </c>
      <c r="N181">
        <f>K181*$I$8*$B$4*(1+0.008*K181)^'Balance Controls'!$D$14</f>
        <v>2037.4540800000002</v>
      </c>
      <c r="O181">
        <f t="shared" si="5"/>
        <v>3533252251203.4629</v>
      </c>
    </row>
    <row r="182" spans="11:15" x14ac:dyDescent="0.3">
      <c r="K182">
        <v>171</v>
      </c>
      <c r="L182" s="6">
        <f t="shared" si="4"/>
        <v>8782583842158092</v>
      </c>
      <c r="N182">
        <f>K182*$I$8*$B$4*(1+0.008*K182)^'Balance Controls'!$D$14</f>
        <v>2056.3863552000003</v>
      </c>
      <c r="O182">
        <f t="shared" si="5"/>
        <v>4270882181234.8169</v>
      </c>
    </row>
    <row r="183" spans="11:15" x14ac:dyDescent="0.3">
      <c r="K183">
        <v>172</v>
      </c>
      <c r="L183" s="6">
        <f t="shared" si="4"/>
        <v>1.071475228743287E+16</v>
      </c>
      <c r="N183">
        <f>K183*$I$8*$B$4*(1+0.008*K183)^'Balance Controls'!$D$14</f>
        <v>2075.3998848000001</v>
      </c>
      <c r="O183">
        <f t="shared" si="5"/>
        <v>5162741101561.4551</v>
      </c>
    </row>
    <row r="184" spans="11:15" x14ac:dyDescent="0.3">
      <c r="K184">
        <v>173</v>
      </c>
      <c r="L184" s="6">
        <f t="shared" si="4"/>
        <v>1.30719977906681E+16</v>
      </c>
      <c r="N184">
        <f>K184*$I$8*$B$4*(1+0.008*K184)^'Balance Controls'!$D$14</f>
        <v>2094.4946688</v>
      </c>
      <c r="O184">
        <f t="shared" si="5"/>
        <v>6241122493836.3994</v>
      </c>
    </row>
    <row r="185" spans="11:15" x14ac:dyDescent="0.3">
      <c r="K185">
        <v>174</v>
      </c>
      <c r="L185" s="6">
        <f t="shared" si="4"/>
        <v>1.5947837304615082E+16</v>
      </c>
      <c r="N185">
        <f>K185*$I$8*$B$4*(1+0.008*K185)^'Balance Controls'!$D$14</f>
        <v>2113.6707071999999</v>
      </c>
      <c r="O185">
        <f t="shared" si="5"/>
        <v>7545090751501.8438</v>
      </c>
    </row>
    <row r="186" spans="11:15" x14ac:dyDescent="0.3">
      <c r="K186">
        <v>175</v>
      </c>
      <c r="L186" s="6">
        <f t="shared" si="4"/>
        <v>1.94563615116304E+16</v>
      </c>
      <c r="N186">
        <f>K186*$I$8*$B$4*(1+0.008*K186)^'Balance Controls'!$D$14</f>
        <v>2132.9279999999999</v>
      </c>
      <c r="O186">
        <f t="shared" si="5"/>
        <v>9121902620074.5645</v>
      </c>
    </row>
    <row r="187" spans="11:15" x14ac:dyDescent="0.3">
      <c r="K187">
        <v>176</v>
      </c>
      <c r="L187" s="6">
        <f t="shared" si="4"/>
        <v>2.3736761044189088E+16</v>
      </c>
      <c r="N187">
        <f>K187*$I$8*$B$4*(1+0.008*K187)^'Balance Controls'!$D$14</f>
        <v>2152.2665471999999</v>
      </c>
      <c r="O187">
        <f t="shared" si="5"/>
        <v>11028727401385.078</v>
      </c>
    </row>
    <row r="188" spans="11:15" x14ac:dyDescent="0.3">
      <c r="K188">
        <v>177</v>
      </c>
      <c r="L188" s="6">
        <f t="shared" si="4"/>
        <v>2.8958848473910684E+16</v>
      </c>
      <c r="N188">
        <f>K188*$I$8*$B$4*(1+0.008*K188)^'Balance Controls'!$D$14</f>
        <v>2171.6863487999995</v>
      </c>
      <c r="O188">
        <f t="shared" si="5"/>
        <v>13334728788027.961</v>
      </c>
    </row>
    <row r="189" spans="11:15" x14ac:dyDescent="0.3">
      <c r="K189">
        <v>178</v>
      </c>
      <c r="L189" s="6">
        <f t="shared" si="4"/>
        <v>3.5329795138171036E+16</v>
      </c>
      <c r="N189">
        <f>K189*$I$8*$B$4*(1+0.008*K189)^'Balance Controls'!$D$14</f>
        <v>2191.1874047999995</v>
      </c>
      <c r="O189">
        <f t="shared" si="5"/>
        <v>16123584436811.676</v>
      </c>
    </row>
    <row r="190" spans="11:15" x14ac:dyDescent="0.3">
      <c r="K190">
        <v>179</v>
      </c>
      <c r="L190" s="6">
        <f t="shared" si="4"/>
        <v>4.3102350068568656E+16</v>
      </c>
      <c r="N190">
        <f>K190*$I$8*$B$4*(1+0.008*K190)^'Balance Controls'!$D$14</f>
        <v>2210.7697152000001</v>
      </c>
      <c r="O190">
        <f t="shared" si="5"/>
        <v>19496535424843.809</v>
      </c>
    </row>
    <row r="191" spans="11:15" x14ac:dyDescent="0.3">
      <c r="K191">
        <v>180</v>
      </c>
      <c r="L191" s="6">
        <f t="shared" si="4"/>
        <v>5.2584867083653752E+16</v>
      </c>
      <c r="N191">
        <f>K191*$I$8*$B$4*(1+0.008*K191)^'Balance Controls'!$D$14</f>
        <v>2230.4332799999997</v>
      </c>
      <c r="O191">
        <f t="shared" si="5"/>
        <v>23576077148406.68</v>
      </c>
    </row>
    <row r="192" spans="11:15" x14ac:dyDescent="0.3">
      <c r="K192">
        <v>181</v>
      </c>
      <c r="L192" s="6">
        <f t="shared" si="4"/>
        <v>6.4153537842057584E+16</v>
      </c>
      <c r="N192">
        <f>K192*$I$8*$B$4*(1+0.008*K192)^'Balance Controls'!$D$14</f>
        <v>2250.1780991999999</v>
      </c>
      <c r="O192">
        <f t="shared" si="5"/>
        <v>28510426736828.488</v>
      </c>
    </row>
    <row r="193" spans="11:15" x14ac:dyDescent="0.3">
      <c r="K193">
        <v>182</v>
      </c>
      <c r="L193" s="6">
        <f t="shared" si="4"/>
        <v>7.826731616731024E+16</v>
      </c>
      <c r="N193">
        <f>K193*$I$8*$B$4*(1+0.008*K193)^'Balance Controls'!$D$14</f>
        <v>2270.0041727999997</v>
      </c>
      <c r="O193">
        <f t="shared" si="5"/>
        <v>34478930525827.734</v>
      </c>
    </row>
    <row r="194" spans="11:15" x14ac:dyDescent="0.3">
      <c r="K194">
        <v>183</v>
      </c>
      <c r="L194" s="6">
        <f t="shared" si="4"/>
        <v>9.5486125724118528E+16</v>
      </c>
      <c r="N194">
        <f>K194*$I$8*$B$4*(1+0.008*K194)^'Balance Controls'!$D$14</f>
        <v>2289.9115007999999</v>
      </c>
      <c r="O194">
        <f t="shared" si="5"/>
        <v>41698609614720.766</v>
      </c>
    </row>
    <row r="195" spans="11:15" x14ac:dyDescent="0.3">
      <c r="K195">
        <v>184</v>
      </c>
      <c r="L195" s="6">
        <f t="shared" si="4"/>
        <v>1.1649307338342458E+17</v>
      </c>
      <c r="N195">
        <f>K195*$I$8*$B$4*(1+0.008*K195)^'Balance Controls'!$D$14</f>
        <v>2309.9000831999997</v>
      </c>
      <c r="O195">
        <f t="shared" si="5"/>
        <v>50432083288226.875</v>
      </c>
    </row>
    <row r="196" spans="11:15" x14ac:dyDescent="0.3">
      <c r="K196">
        <v>185</v>
      </c>
      <c r="L196" s="6">
        <f t="shared" si="4"/>
        <v>1.4212154952777795E+17</v>
      </c>
      <c r="N196">
        <f>K196*$I$8*$B$4*(1+0.008*K196)^'Balance Controls'!$D$14</f>
        <v>2329.9699199999995</v>
      </c>
      <c r="O196">
        <f t="shared" si="5"/>
        <v>60997160653377.867</v>
      </c>
    </row>
    <row r="197" spans="11:15" x14ac:dyDescent="0.3">
      <c r="K197">
        <v>186</v>
      </c>
      <c r="L197" s="6">
        <f t="shared" si="4"/>
        <v>1.7338829042388915E+17</v>
      </c>
      <c r="N197">
        <f>K197*$I$8*$B$4*(1+0.008*K197)^'Balance Controls'!$D$14</f>
        <v>2350.1210111999999</v>
      </c>
      <c r="O197">
        <f t="shared" si="5"/>
        <v>73778452087177.844</v>
      </c>
    </row>
    <row r="198" spans="11:15" x14ac:dyDescent="0.3">
      <c r="K198">
        <v>187</v>
      </c>
      <c r="L198" s="6">
        <f t="shared" si="4"/>
        <v>2.115337143171447E+17</v>
      </c>
      <c r="N198">
        <f>K198*$I$8*$B$4*(1+0.008*K198)^'Balance Controls'!$D$14</f>
        <v>2370.3533567999998</v>
      </c>
      <c r="O198">
        <f t="shared" si="5"/>
        <v>89241426266806.609</v>
      </c>
    </row>
    <row r="199" spans="11:15" x14ac:dyDescent="0.3">
      <c r="K199">
        <v>188</v>
      </c>
      <c r="L199" s="6">
        <f t="shared" si="4"/>
        <v>2.5807113146691658E+17</v>
      </c>
      <c r="N199">
        <f>K199*$I$8*$B$4*(1+0.008*K199)^'Balance Controls'!$D$14</f>
        <v>2390.6669567999998</v>
      </c>
      <c r="O199">
        <f t="shared" si="5"/>
        <v>107949428393972.02</v>
      </c>
    </row>
    <row r="200" spans="11:15" x14ac:dyDescent="0.3">
      <c r="K200">
        <v>189</v>
      </c>
      <c r="L200" s="6">
        <f t="shared" si="4"/>
        <v>3.1484678038963821E+17</v>
      </c>
      <c r="N200">
        <f>K200*$I$8*$B$4*(1+0.008*K200)^'Balance Controls'!$D$14</f>
        <v>2411.0618111999997</v>
      </c>
      <c r="O200">
        <f t="shared" si="5"/>
        <v>130584284039129.27</v>
      </c>
    </row>
    <row r="201" spans="11:15" x14ac:dyDescent="0.3">
      <c r="K201">
        <v>190</v>
      </c>
      <c r="L201" s="6">
        <f t="shared" si="4"/>
        <v>3.8411307207535853E+17</v>
      </c>
      <c r="N201">
        <f>K201*$I$8*$B$4*(1+0.008*K201)^'Balance Controls'!$D$14</f>
        <v>2431.5379199999998</v>
      </c>
      <c r="O201">
        <f t="shared" si="5"/>
        <v>157971244830661.97</v>
      </c>
    </row>
    <row r="202" spans="11:15" x14ac:dyDescent="0.3">
      <c r="K202">
        <v>191</v>
      </c>
      <c r="L202" s="6">
        <f t="shared" si="4"/>
        <v>4.6861794793193741E+17</v>
      </c>
      <c r="N202">
        <f>K202*$I$8*$B$4*(1+0.008*K202)^'Balance Controls'!$D$14</f>
        <v>2452.0952831999998</v>
      </c>
      <c r="O202">
        <f t="shared" si="5"/>
        <v>191109191858314.75</v>
      </c>
    </row>
    <row r="203" spans="11:15" x14ac:dyDescent="0.3">
      <c r="K203">
        <v>192</v>
      </c>
      <c r="L203" s="6">
        <f t="shared" ref="L203:L266" si="6">$I$6*($I$7^K203)</f>
        <v>5.7171389647696358E+17</v>
      </c>
      <c r="N203">
        <f>K203*$I$8*$B$4*(1+0.008*K203)^'Balance Controls'!$D$14</f>
        <v>2472.7339007999999</v>
      </c>
      <c r="O203">
        <f t="shared" ref="O203:O266" si="7">L203/N203</f>
        <v>231207206037009.41</v>
      </c>
    </row>
    <row r="204" spans="11:15" x14ac:dyDescent="0.3">
      <c r="K204">
        <v>193</v>
      </c>
      <c r="L204" s="6">
        <f t="shared" si="6"/>
        <v>6.9749095370189542E+17</v>
      </c>
      <c r="N204">
        <f>K204*$I$8*$B$4*(1+0.008*K204)^'Balance Controls'!$D$14</f>
        <v>2493.4537728</v>
      </c>
      <c r="O204">
        <f t="shared" si="7"/>
        <v>279728848920529.47</v>
      </c>
    </row>
    <row r="205" spans="11:15" x14ac:dyDescent="0.3">
      <c r="K205">
        <v>194</v>
      </c>
      <c r="L205" s="6">
        <f t="shared" si="6"/>
        <v>8.5093896351631258E+17</v>
      </c>
      <c r="N205">
        <f>K205*$I$8*$B$4*(1+0.008*K205)^'Balance Controls'!$D$14</f>
        <v>2514.2548991999997</v>
      </c>
      <c r="O205">
        <f t="shared" si="7"/>
        <v>338445781208209.75</v>
      </c>
    </row>
    <row r="206" spans="11:15" x14ac:dyDescent="0.3">
      <c r="K206">
        <v>195</v>
      </c>
      <c r="L206" s="6">
        <f t="shared" si="6"/>
        <v>1.0381455354899012E+18</v>
      </c>
      <c r="N206">
        <f>K206*$I$8*$B$4*(1+0.008*K206)^'Balance Controls'!$D$14</f>
        <v>2535.1372799999999</v>
      </c>
      <c r="O206">
        <f t="shared" si="7"/>
        <v>409502689925297.13</v>
      </c>
    </row>
    <row r="207" spans="11:15" x14ac:dyDescent="0.3">
      <c r="K207">
        <v>196</v>
      </c>
      <c r="L207" s="6">
        <f t="shared" si="6"/>
        <v>1.2665375532976794E+18</v>
      </c>
      <c r="N207">
        <f>K207*$I$8*$B$4*(1+0.008*K207)^'Balance Controls'!$D$14</f>
        <v>2556.1009151999997</v>
      </c>
      <c r="O207">
        <f t="shared" si="7"/>
        <v>495495911670052.5</v>
      </c>
    </row>
    <row r="208" spans="11:15" x14ac:dyDescent="0.3">
      <c r="K208">
        <v>197</v>
      </c>
      <c r="L208" s="6">
        <f t="shared" si="6"/>
        <v>1.545175815023169E+18</v>
      </c>
      <c r="N208">
        <f>K208*$I$8*$B$4*(1+0.008*K208)^'Balance Controls'!$D$14</f>
        <v>2577.1458048</v>
      </c>
      <c r="O208">
        <f t="shared" si="7"/>
        <v>599568643786176</v>
      </c>
    </row>
    <row r="209" spans="11:15" x14ac:dyDescent="0.3">
      <c r="K209">
        <v>198</v>
      </c>
      <c r="L209" s="6">
        <f t="shared" si="6"/>
        <v>1.885114494328266E+18</v>
      </c>
      <c r="N209">
        <f>K209*$I$8*$B$4*(1+0.008*K209)^'Balance Controls'!$D$14</f>
        <v>2598.2719487999998</v>
      </c>
      <c r="O209">
        <f t="shared" si="7"/>
        <v>725526246472736.5</v>
      </c>
    </row>
    <row r="210" spans="11:15" x14ac:dyDescent="0.3">
      <c r="K210">
        <v>199</v>
      </c>
      <c r="L210" s="6">
        <f t="shared" si="6"/>
        <v>2.2998396830804841E+18</v>
      </c>
      <c r="N210">
        <f>K210*$I$8*$B$4*(1+0.008*K210)^'Balance Controls'!$D$14</f>
        <v>2619.4793472000001</v>
      </c>
      <c r="O210">
        <f t="shared" si="7"/>
        <v>877975879267311.88</v>
      </c>
    </row>
    <row r="211" spans="11:15" x14ac:dyDescent="0.3">
      <c r="K211">
        <v>200</v>
      </c>
      <c r="L211" s="6">
        <f t="shared" si="6"/>
        <v>2.8058044133581906E+18</v>
      </c>
      <c r="N211">
        <f>K211*$I$8*$B$4*(1+0.008*K211)^'Balance Controls'!$D$14</f>
        <v>2640.768</v>
      </c>
      <c r="O211">
        <f t="shared" si="7"/>
        <v>1062495612396920.4</v>
      </c>
    </row>
    <row r="212" spans="11:15" x14ac:dyDescent="0.3">
      <c r="K212">
        <v>201</v>
      </c>
      <c r="L212" s="6">
        <f t="shared" si="6"/>
        <v>3.4230813842969928E+18</v>
      </c>
      <c r="N212">
        <f>K212*$I$8*$B$4*(1+0.008*K212)^'Balance Controls'!$D$14</f>
        <v>2662.1379072</v>
      </c>
      <c r="O212">
        <f t="shared" si="7"/>
        <v>1285839240348499.8</v>
      </c>
    </row>
    <row r="213" spans="11:15" x14ac:dyDescent="0.3">
      <c r="K213">
        <v>202</v>
      </c>
      <c r="L213" s="6">
        <f t="shared" si="6"/>
        <v>4.1761592888423311E+18</v>
      </c>
      <c r="N213">
        <f>K213*$I$8*$B$4*(1+0.008*K213)^'Balance Controls'!$D$14</f>
        <v>2683.5890687999995</v>
      </c>
      <c r="O213">
        <f t="shared" si="7"/>
        <v>1556184341855943.3</v>
      </c>
    </row>
    <row r="214" spans="11:15" x14ac:dyDescent="0.3">
      <c r="K214">
        <v>203</v>
      </c>
      <c r="L214" s="6">
        <f t="shared" si="6"/>
        <v>5.0949143323876424E+18</v>
      </c>
      <c r="N214">
        <f>K214*$I$8*$B$4*(1+0.008*K214)^'Balance Controls'!$D$14</f>
        <v>2705.1214848</v>
      </c>
      <c r="O214">
        <f t="shared" si="7"/>
        <v>1883432726040519.8</v>
      </c>
    </row>
    <row r="215" spans="11:15" x14ac:dyDescent="0.3">
      <c r="K215">
        <v>204</v>
      </c>
      <c r="L215" s="6">
        <f t="shared" si="6"/>
        <v>6.2157954855129242E+18</v>
      </c>
      <c r="N215">
        <f>K215*$I$8*$B$4*(1+0.008*K215)^'Balance Controls'!$D$14</f>
        <v>2726.7351552</v>
      </c>
      <c r="O215">
        <f t="shared" si="7"/>
        <v>2279574337705346</v>
      </c>
    </row>
    <row r="216" spans="11:15" x14ac:dyDescent="0.3">
      <c r="K216">
        <v>205</v>
      </c>
      <c r="L216" s="6">
        <f t="shared" si="6"/>
        <v>7.5832704923257672E+18</v>
      </c>
      <c r="N216">
        <f>K216*$I$8*$B$4*(1+0.008*K216)^'Balance Controls'!$D$14</f>
        <v>2748.4300799999996</v>
      </c>
      <c r="O216">
        <f t="shared" si="7"/>
        <v>2759128037314221.5</v>
      </c>
    </row>
    <row r="217" spans="11:15" x14ac:dyDescent="0.3">
      <c r="K217">
        <v>206</v>
      </c>
      <c r="L217" s="6">
        <f t="shared" si="6"/>
        <v>9.2515900006374359E+18</v>
      </c>
      <c r="N217">
        <f>K217*$I$8*$B$4*(1+0.008*K217)^'Balance Controls'!$D$14</f>
        <v>2770.2062592000002</v>
      </c>
      <c r="O217">
        <f t="shared" si="7"/>
        <v>3339675509689006</v>
      </c>
    </row>
    <row r="218" spans="11:15" x14ac:dyDescent="0.3">
      <c r="K218">
        <v>207</v>
      </c>
      <c r="L218" s="6">
        <f t="shared" si="6"/>
        <v>1.1286939800777671E+19</v>
      </c>
      <c r="N218">
        <f>K218*$I$8*$B$4*(1+0.008*K218)^'Balance Controls'!$D$14</f>
        <v>2792.0636927999999</v>
      </c>
      <c r="O218">
        <f t="shared" si="7"/>
        <v>4042507995030245.5</v>
      </c>
    </row>
    <row r="219" spans="11:15" x14ac:dyDescent="0.3">
      <c r="K219">
        <v>208</v>
      </c>
      <c r="L219" s="6">
        <f t="shared" si="6"/>
        <v>1.3770066556948759E+19</v>
      </c>
      <c r="N219">
        <f>K219*$I$8*$B$4*(1+0.008*K219)^'Balance Controls'!$D$14</f>
        <v>2814.0023808000001</v>
      </c>
      <c r="O219">
        <f t="shared" si="7"/>
        <v>4893409703880219</v>
      </c>
    </row>
    <row r="220" spans="11:15" x14ac:dyDescent="0.3">
      <c r="K220">
        <v>209</v>
      </c>
      <c r="L220" s="6">
        <f t="shared" si="6"/>
        <v>1.6799481199477484E+19</v>
      </c>
      <c r="N220">
        <f>K220*$I$8*$B$4*(1+0.008*K220)^'Balance Controls'!$D$14</f>
        <v>2836.0223231999994</v>
      </c>
      <c r="O220">
        <f t="shared" si="7"/>
        <v>5923606828497015</v>
      </c>
    </row>
    <row r="221" spans="11:15" x14ac:dyDescent="0.3">
      <c r="K221">
        <v>210</v>
      </c>
      <c r="L221" s="6">
        <f t="shared" si="6"/>
        <v>2.0495367063362531E+19</v>
      </c>
      <c r="N221">
        <f>K221*$I$8*$B$4*(1+0.008*K221)^'Balance Controls'!$D$14</f>
        <v>2858.1235199999996</v>
      </c>
      <c r="O221">
        <f t="shared" si="7"/>
        <v>7170917183930012</v>
      </c>
    </row>
    <row r="222" spans="11:15" x14ac:dyDescent="0.3">
      <c r="K222">
        <v>211</v>
      </c>
      <c r="L222" s="6">
        <f t="shared" si="6"/>
        <v>2.5004347817302282E+19</v>
      </c>
      <c r="N222">
        <f>K222*$I$8*$B$4*(1+0.008*K222)^'Balance Controls'!$D$14</f>
        <v>2880.305971199999</v>
      </c>
      <c r="O222">
        <f t="shared" si="7"/>
        <v>8681142929716220</v>
      </c>
    </row>
    <row r="223" spans="11:15" x14ac:dyDescent="0.3">
      <c r="K223">
        <v>212</v>
      </c>
      <c r="L223" s="6">
        <f t="shared" si="6"/>
        <v>3.0505304337108783E+19</v>
      </c>
      <c r="N223">
        <f>K223*$I$8*$B$4*(1+0.008*K223)^'Balance Controls'!$D$14</f>
        <v>2902.5696767999993</v>
      </c>
      <c r="O223">
        <f t="shared" si="7"/>
        <v>1.0509757812511848E+16</v>
      </c>
    </row>
    <row r="224" spans="11:15" x14ac:dyDescent="0.3">
      <c r="K224">
        <v>213</v>
      </c>
      <c r="L224" s="6">
        <f t="shared" si="6"/>
        <v>3.7216471291272716E+19</v>
      </c>
      <c r="N224">
        <f>K224*$I$8*$B$4*(1+0.008*K224)^'Balance Controls'!$D$14</f>
        <v>2924.9146367999997</v>
      </c>
      <c r="O224">
        <f t="shared" si="7"/>
        <v>1.2723951264433948E+16</v>
      </c>
    </row>
    <row r="225" spans="11:15" x14ac:dyDescent="0.3">
      <c r="K225">
        <v>214</v>
      </c>
      <c r="L225" s="6">
        <f t="shared" si="6"/>
        <v>4.5404094975352709E+19</v>
      </c>
      <c r="N225">
        <f>K225*$I$8*$B$4*(1+0.008*K225)^'Balance Controls'!$D$14</f>
        <v>2947.3408511999996</v>
      </c>
      <c r="O225">
        <f t="shared" si="7"/>
        <v>1.540510489544044E+16</v>
      </c>
    </row>
    <row r="226" spans="11:15" x14ac:dyDescent="0.3">
      <c r="K226">
        <v>215</v>
      </c>
      <c r="L226" s="6">
        <f t="shared" si="6"/>
        <v>5.5392995869930316E+19</v>
      </c>
      <c r="N226">
        <f>K226*$I$8*$B$4*(1+0.008*K226)^'Balance Controls'!$D$14</f>
        <v>2969.8483199999996</v>
      </c>
      <c r="O226">
        <f t="shared" si="7"/>
        <v>1.8651792920498488E+16</v>
      </c>
    </row>
    <row r="227" spans="11:15" x14ac:dyDescent="0.3">
      <c r="K227">
        <v>216</v>
      </c>
      <c r="L227" s="6">
        <f t="shared" si="6"/>
        <v>6.7579454961314972E+19</v>
      </c>
      <c r="N227">
        <f>K227*$I$8*$B$4*(1+0.008*K227)^'Balance Controls'!$D$14</f>
        <v>2992.4370431999992</v>
      </c>
      <c r="O227">
        <f t="shared" si="7"/>
        <v>2.2583417457313672E+16</v>
      </c>
    </row>
    <row r="228" spans="11:15" x14ac:dyDescent="0.3">
      <c r="K228">
        <v>217</v>
      </c>
      <c r="L228" s="6">
        <f t="shared" si="6"/>
        <v>8.244693505280426E+19</v>
      </c>
      <c r="N228">
        <f>K228*$I$8*$B$4*(1+0.008*K228)^'Balance Controls'!$D$14</f>
        <v>3015.1070207999996</v>
      </c>
      <c r="O228">
        <f t="shared" si="7"/>
        <v>2.734461313778792E+16</v>
      </c>
    </row>
    <row r="229" spans="11:15" x14ac:dyDescent="0.3">
      <c r="K229">
        <v>218</v>
      </c>
      <c r="L229" s="6">
        <f t="shared" si="6"/>
        <v>1.0058526076442119E+20</v>
      </c>
      <c r="N229">
        <f>K229*$I$8*$B$4*(1+0.008*K229)^'Balance Controls'!$D$14</f>
        <v>3037.8582527999993</v>
      </c>
      <c r="O229">
        <f t="shared" si="7"/>
        <v>3.3110583968725856E+16</v>
      </c>
    </row>
    <row r="230" spans="11:15" x14ac:dyDescent="0.3">
      <c r="K230">
        <v>219</v>
      </c>
      <c r="L230" s="6">
        <f t="shared" si="6"/>
        <v>1.2271401813259384E+20</v>
      </c>
      <c r="N230">
        <f>K230*$I$8*$B$4*(1+0.008*K230)^'Balance Controls'!$D$14</f>
        <v>3060.6907391999998</v>
      </c>
      <c r="O230">
        <f t="shared" si="7"/>
        <v>4.0093569912479528E+16</v>
      </c>
    </row>
    <row r="231" spans="11:15" x14ac:dyDescent="0.3">
      <c r="K231">
        <v>220</v>
      </c>
      <c r="L231" s="6">
        <f t="shared" si="6"/>
        <v>1.4971110212176452E+20</v>
      </c>
      <c r="N231">
        <f>K231*$I$8*$B$4*(1+0.008*K231)^'Balance Controls'!$D$14</f>
        <v>3083.6044799999991</v>
      </c>
      <c r="O231">
        <f t="shared" si="7"/>
        <v>4.8550682518714128E+16</v>
      </c>
    </row>
    <row r="232" spans="11:15" x14ac:dyDescent="0.3">
      <c r="K232">
        <v>221</v>
      </c>
      <c r="L232" s="6">
        <f t="shared" si="6"/>
        <v>1.8264754458855267E+20</v>
      </c>
      <c r="N232">
        <f>K232*$I$8*$B$4*(1+0.008*K232)^'Balance Controls'!$D$14</f>
        <v>3106.5994751999997</v>
      </c>
      <c r="O232">
        <f t="shared" si="7"/>
        <v>5.8793399679176216E+16</v>
      </c>
    </row>
    <row r="233" spans="11:15" x14ac:dyDescent="0.3">
      <c r="K233">
        <v>222</v>
      </c>
      <c r="L233" s="6">
        <f t="shared" si="6"/>
        <v>2.2283000439803426E+20</v>
      </c>
      <c r="N233">
        <f>K233*$I$8*$B$4*(1+0.008*K233)^'Balance Controls'!$D$14</f>
        <v>3129.675724799999</v>
      </c>
      <c r="O233">
        <f t="shared" si="7"/>
        <v>7.1199071083402464E+16</v>
      </c>
    </row>
    <row r="234" spans="11:15" x14ac:dyDescent="0.3">
      <c r="K234">
        <v>223</v>
      </c>
      <c r="L234" s="6">
        <f t="shared" si="6"/>
        <v>2.718526053656018E+20</v>
      </c>
      <c r="N234">
        <f>K234*$I$8*$B$4*(1+0.008*K234)^'Balance Controls'!$D$14</f>
        <v>3152.8332287999997</v>
      </c>
      <c r="O234">
        <f t="shared" si="7"/>
        <v>8.6224860510326352E+16</v>
      </c>
    </row>
    <row r="235" spans="11:15" x14ac:dyDescent="0.3">
      <c r="K235">
        <v>224</v>
      </c>
      <c r="L235" s="6">
        <f t="shared" si="6"/>
        <v>3.3166017854603415E+20</v>
      </c>
      <c r="N235">
        <f>K235*$I$8*$B$4*(1+0.008*K235)^'Balance Controls'!$D$14</f>
        <v>3176.0719872</v>
      </c>
      <c r="O235">
        <f t="shared" si="7"/>
        <v>1.044246414699256E+17</v>
      </c>
    </row>
    <row r="236" spans="11:15" x14ac:dyDescent="0.3">
      <c r="K236">
        <v>225</v>
      </c>
      <c r="L236" s="6">
        <f t="shared" si="6"/>
        <v>4.0462541782616166E+20</v>
      </c>
      <c r="N236">
        <f>K236*$I$8*$B$4*(1+0.008*K236)^'Balance Controls'!$D$14</f>
        <v>3199.3919999999994</v>
      </c>
      <c r="O236">
        <f t="shared" si="7"/>
        <v>1.2646947227040691E+17</v>
      </c>
    </row>
    <row r="237" spans="11:15" x14ac:dyDescent="0.3">
      <c r="K237">
        <v>226</v>
      </c>
      <c r="L237" s="6">
        <f t="shared" si="6"/>
        <v>4.9364300974791714E+20</v>
      </c>
      <c r="N237">
        <f>K237*$I$8*$B$4*(1+0.008*K237)^'Balance Controls'!$D$14</f>
        <v>3222.7932671999997</v>
      </c>
      <c r="O237">
        <f t="shared" si="7"/>
        <v>1.5317240940397021E+17</v>
      </c>
    </row>
    <row r="238" spans="11:15" x14ac:dyDescent="0.3">
      <c r="K238">
        <v>227</v>
      </c>
      <c r="L238" s="6">
        <f t="shared" si="6"/>
        <v>6.02244471892459E+20</v>
      </c>
      <c r="N238">
        <f>K238*$I$8*$B$4*(1+0.008*K238)^'Balance Controls'!$D$14</f>
        <v>3246.2757887999992</v>
      </c>
      <c r="O238">
        <f t="shared" si="7"/>
        <v>1.8551857915777434E+17</v>
      </c>
    </row>
    <row r="239" spans="11:15" x14ac:dyDescent="0.3">
      <c r="K239">
        <v>228</v>
      </c>
      <c r="L239" s="6">
        <f t="shared" si="6"/>
        <v>7.3473825570879989E+20</v>
      </c>
      <c r="N239">
        <f>K239*$I$8*$B$4*(1+0.008*K239)^'Balance Controls'!$D$14</f>
        <v>3269.8395647999996</v>
      </c>
      <c r="O239">
        <f t="shared" si="7"/>
        <v>2.2470162255613306E+17</v>
      </c>
    </row>
    <row r="240" spans="11:15" x14ac:dyDescent="0.3">
      <c r="K240">
        <v>229</v>
      </c>
      <c r="L240" s="6">
        <f t="shared" si="6"/>
        <v>8.9638067196473586E+20</v>
      </c>
      <c r="N240">
        <f>K240*$I$8*$B$4*(1+0.008*K240)^'Balance Controls'!$D$14</f>
        <v>3293.4845951999991</v>
      </c>
      <c r="O240">
        <f t="shared" si="7"/>
        <v>2.721678653882705E+17</v>
      </c>
    </row>
    <row r="241" spans="11:15" x14ac:dyDescent="0.3">
      <c r="K241">
        <v>230</v>
      </c>
      <c r="L241" s="6">
        <f t="shared" si="6"/>
        <v>1.0935844197969776E+21</v>
      </c>
      <c r="N241">
        <f>K241*$I$8*$B$4*(1+0.008*K241)^'Balance Controls'!$D$14</f>
        <v>3317.2108799999996</v>
      </c>
      <c r="O241">
        <f t="shared" si="7"/>
        <v>3.2966985198028102E+17</v>
      </c>
    </row>
    <row r="242" spans="11:15" x14ac:dyDescent="0.3">
      <c r="K242">
        <v>231</v>
      </c>
      <c r="L242" s="6">
        <f t="shared" si="6"/>
        <v>1.3341729921523127E+21</v>
      </c>
      <c r="N242">
        <f>K242*$I$8*$B$4*(1+0.008*K242)^'Balance Controls'!$D$14</f>
        <v>3341.0184191999992</v>
      </c>
      <c r="O242">
        <f t="shared" si="7"/>
        <v>3.9933122920997786E+17</v>
      </c>
    </row>
    <row r="243" spans="11:15" x14ac:dyDescent="0.3">
      <c r="K243">
        <v>232</v>
      </c>
      <c r="L243" s="6">
        <f t="shared" si="6"/>
        <v>1.6276910504258212E+21</v>
      </c>
      <c r="N243">
        <f>K243*$I$8*$B$4*(1+0.008*K243)^'Balance Controls'!$D$14</f>
        <v>3364.9072127999993</v>
      </c>
      <c r="O243">
        <f t="shared" si="7"/>
        <v>4.8372538898966854E+17</v>
      </c>
    </row>
    <row r="244" spans="11:15" x14ac:dyDescent="0.3">
      <c r="K244">
        <v>233</v>
      </c>
      <c r="L244" s="6">
        <f t="shared" si="6"/>
        <v>1.9857830815195021E+21</v>
      </c>
      <c r="N244">
        <f>K244*$I$8*$B$4*(1+0.008*K244)^'Balance Controls'!$D$14</f>
        <v>3388.8772607999999</v>
      </c>
      <c r="O244">
        <f t="shared" si="7"/>
        <v>5.859707887593207E+17</v>
      </c>
    </row>
    <row r="245" spans="11:15" x14ac:dyDescent="0.3">
      <c r="K245">
        <v>234</v>
      </c>
      <c r="L245" s="6">
        <f t="shared" si="6"/>
        <v>2.4226553594537915E+21</v>
      </c>
      <c r="N245">
        <f>K245*$I$8*$B$4*(1+0.008*K245)^'Balance Controls'!$D$14</f>
        <v>3412.9285631999996</v>
      </c>
      <c r="O245">
        <f t="shared" si="7"/>
        <v>7.098464894859337E+17</v>
      </c>
    </row>
    <row r="246" spans="11:15" x14ac:dyDescent="0.3">
      <c r="K246">
        <v>235</v>
      </c>
      <c r="L246" s="6">
        <f t="shared" si="6"/>
        <v>2.9556395385336265E+21</v>
      </c>
      <c r="N246">
        <f>K246*$I$8*$B$4*(1+0.008*K246)^'Balance Controls'!$D$14</f>
        <v>3437.0611199999998</v>
      </c>
      <c r="O246">
        <f t="shared" si="7"/>
        <v>8.5993220235013645E+17</v>
      </c>
    </row>
    <row r="247" spans="11:15" x14ac:dyDescent="0.3">
      <c r="K247">
        <v>236</v>
      </c>
      <c r="L247" s="6">
        <f t="shared" si="6"/>
        <v>3.605880237011024E+21</v>
      </c>
      <c r="N247">
        <f>K247*$I$8*$B$4*(1+0.008*K247)^'Balance Controls'!$D$14</f>
        <v>3461.2749311999996</v>
      </c>
      <c r="O247">
        <f t="shared" si="7"/>
        <v>1.0417780467271031E+18</v>
      </c>
    </row>
    <row r="248" spans="11:15" x14ac:dyDescent="0.3">
      <c r="K248">
        <v>237</v>
      </c>
      <c r="L248" s="6">
        <f t="shared" si="6"/>
        <v>4.3991738891534493E+21</v>
      </c>
      <c r="N248">
        <f>K248*$I$8*$B$4*(1+0.008*K248)^'Balance Controls'!$D$14</f>
        <v>3485.5699967999999</v>
      </c>
      <c r="O248">
        <f t="shared" si="7"/>
        <v>1.2621103272039301E+18</v>
      </c>
    </row>
    <row r="249" spans="11:15" x14ac:dyDescent="0.3">
      <c r="K249">
        <v>238</v>
      </c>
      <c r="L249" s="6">
        <f t="shared" si="6"/>
        <v>5.3669921447672073E+21</v>
      </c>
      <c r="N249">
        <f>K249*$I$8*$B$4*(1+0.008*K249)^'Balance Controls'!$D$14</f>
        <v>3509.9463167999993</v>
      </c>
      <c r="O249">
        <f t="shared" si="7"/>
        <v>1.5290809774151383E+18</v>
      </c>
    </row>
    <row r="250" spans="11:15" x14ac:dyDescent="0.3">
      <c r="K250">
        <v>239</v>
      </c>
      <c r="L250" s="6">
        <f t="shared" si="6"/>
        <v>6.5477304166159934E+21</v>
      </c>
      <c r="N250">
        <f>K250*$I$8*$B$4*(1+0.008*K250)^'Balance Controls'!$D$14</f>
        <v>3534.4038911999996</v>
      </c>
      <c r="O250">
        <f t="shared" si="7"/>
        <v>1.8525699433838362E+18</v>
      </c>
    </row>
    <row r="251" spans="11:15" x14ac:dyDescent="0.3">
      <c r="K251">
        <v>240</v>
      </c>
      <c r="L251" s="6">
        <f t="shared" si="6"/>
        <v>7.9882311082715109E+21</v>
      </c>
      <c r="N251">
        <f>K251*$I$8*$B$4*(1+0.008*K251)^'Balance Controls'!$D$14</f>
        <v>3558.9427199999996</v>
      </c>
      <c r="O251">
        <f t="shared" si="7"/>
        <v>2.2445517494227927E+18</v>
      </c>
    </row>
    <row r="252" spans="11:15" x14ac:dyDescent="0.3">
      <c r="K252">
        <v>241</v>
      </c>
      <c r="L252" s="6">
        <f t="shared" si="6"/>
        <v>9.745641952091243E+21</v>
      </c>
      <c r="N252">
        <f>K252*$I$8*$B$4*(1+0.008*K252)^'Balance Controls'!$D$14</f>
        <v>3583.5628031999995</v>
      </c>
      <c r="O252">
        <f t="shared" si="7"/>
        <v>2.7195398789686948E+18</v>
      </c>
    </row>
    <row r="253" spans="11:15" x14ac:dyDescent="0.3">
      <c r="K253">
        <v>242</v>
      </c>
      <c r="L253" s="6">
        <f t="shared" si="6"/>
        <v>1.1889683181551317E+22</v>
      </c>
      <c r="N253">
        <f>K253*$I$8*$B$4*(1+0.008*K253)^'Balance Controls'!$D$14</f>
        <v>3608.2641408</v>
      </c>
      <c r="O253">
        <f t="shared" si="7"/>
        <v>3.2951255001290501E+18</v>
      </c>
    </row>
    <row r="254" spans="11:15" x14ac:dyDescent="0.3">
      <c r="K254">
        <v>243</v>
      </c>
      <c r="L254" s="6">
        <f t="shared" si="6"/>
        <v>1.4505413481492604E+22</v>
      </c>
      <c r="N254">
        <f>K254*$I$8*$B$4*(1+0.008*K254)^'Balance Controls'!$D$14</f>
        <v>3633.0467327999995</v>
      </c>
      <c r="O254">
        <f t="shared" si="7"/>
        <v>3.9926305793245993E+18</v>
      </c>
    </row>
    <row r="255" spans="11:15" x14ac:dyDescent="0.3">
      <c r="K255">
        <v>244</v>
      </c>
      <c r="L255" s="6">
        <f t="shared" si="6"/>
        <v>1.7696604447420975E+22</v>
      </c>
      <c r="N255">
        <f>K255*$I$8*$B$4*(1+0.008*K255)^'Balance Controls'!$D$14</f>
        <v>3657.9105792</v>
      </c>
      <c r="O255">
        <f t="shared" si="7"/>
        <v>4.8378996873377085E+18</v>
      </c>
    </row>
    <row r="256" spans="11:15" x14ac:dyDescent="0.3">
      <c r="K256">
        <v>245</v>
      </c>
      <c r="L256" s="6">
        <f t="shared" si="6"/>
        <v>2.1589857425853591E+22</v>
      </c>
      <c r="N256">
        <f>K256*$I$8*$B$4*(1+0.008*K256)^'Balance Controls'!$D$14</f>
        <v>3682.8556799999997</v>
      </c>
      <c r="O256">
        <f t="shared" si="7"/>
        <v>5.8622599693761536E+18</v>
      </c>
    </row>
    <row r="257" spans="11:15" x14ac:dyDescent="0.3">
      <c r="K257">
        <v>246</v>
      </c>
      <c r="L257" s="6">
        <f t="shared" si="6"/>
        <v>2.6339626059541378E+22</v>
      </c>
      <c r="N257">
        <f>K257*$I$8*$B$4*(1+0.008*K257)^'Balance Controls'!$D$14</f>
        <v>3707.8820351999998</v>
      </c>
      <c r="O257">
        <f t="shared" si="7"/>
        <v>7.1036850173472799E+18</v>
      </c>
    </row>
    <row r="258" spans="11:15" x14ac:dyDescent="0.3">
      <c r="K258">
        <v>247</v>
      </c>
      <c r="L258" s="6">
        <f t="shared" si="6"/>
        <v>3.2134343792640483E+22</v>
      </c>
      <c r="N258">
        <f>K258*$I$8*$B$4*(1+0.008*K258)^'Balance Controls'!$D$14</f>
        <v>3732.9896447999995</v>
      </c>
      <c r="O258">
        <f t="shared" si="7"/>
        <v>8.6082059824096102E+18</v>
      </c>
    </row>
    <row r="259" spans="11:15" x14ac:dyDescent="0.3">
      <c r="K259">
        <v>248</v>
      </c>
      <c r="L259" s="6">
        <f t="shared" si="6"/>
        <v>3.920389942702139E+22</v>
      </c>
      <c r="N259">
        <f>K259*$I$8*$B$4*(1+0.008*K259)^'Balance Controls'!$D$14</f>
        <v>3758.1785087999997</v>
      </c>
      <c r="O259">
        <f t="shared" si="7"/>
        <v>1.0431622482865867E+19</v>
      </c>
    </row>
    <row r="260" spans="11:15" x14ac:dyDescent="0.3">
      <c r="K260">
        <v>249</v>
      </c>
      <c r="L260" s="6">
        <f t="shared" si="6"/>
        <v>4.7828757300966087E+22</v>
      </c>
      <c r="N260">
        <f>K260*$I$8*$B$4*(1+0.008*K260)^'Balance Controls'!$D$14</f>
        <v>3783.4486271999995</v>
      </c>
      <c r="O260">
        <f t="shared" si="7"/>
        <v>1.2641577040881486E+19</v>
      </c>
    </row>
    <row r="261" spans="11:15" x14ac:dyDescent="0.3">
      <c r="K261">
        <v>250</v>
      </c>
      <c r="L261" s="6">
        <f t="shared" si="6"/>
        <v>5.8351083907178627E+22</v>
      </c>
      <c r="N261">
        <f>K261*$I$8*$B$4*(1+0.008*K261)^'Balance Controls'!$D$14</f>
        <v>3808.7999999999997</v>
      </c>
      <c r="O261">
        <f t="shared" si="7"/>
        <v>1.53200703389988E+19</v>
      </c>
    </row>
    <row r="262" spans="11:15" x14ac:dyDescent="0.3">
      <c r="K262">
        <v>251</v>
      </c>
      <c r="L262" s="6">
        <f t="shared" si="6"/>
        <v>7.118832236675792E+22</v>
      </c>
      <c r="N262">
        <f>K262*$I$8*$B$4*(1+0.008*K262)^'Balance Controls'!$D$14</f>
        <v>3834.2326271999996</v>
      </c>
      <c r="O262">
        <f t="shared" si="7"/>
        <v>1.8566511030590276E+19</v>
      </c>
    </row>
    <row r="263" spans="11:15" x14ac:dyDescent="0.3">
      <c r="K263">
        <v>252</v>
      </c>
      <c r="L263" s="6">
        <f t="shared" si="6"/>
        <v>8.6849753287444658E+22</v>
      </c>
      <c r="N263">
        <f>K263*$I$8*$B$4*(1+0.008*K263)^'Balance Controls'!$D$14</f>
        <v>3859.7465087999994</v>
      </c>
      <c r="O263">
        <f t="shared" si="7"/>
        <v>2.2501413781820187E+19</v>
      </c>
    </row>
    <row r="264" spans="11:15" x14ac:dyDescent="0.3">
      <c r="K264">
        <v>253</v>
      </c>
      <c r="L264" s="6">
        <f t="shared" si="6"/>
        <v>1.0595669901068249E+23</v>
      </c>
      <c r="N264">
        <f>K264*$I$8*$B$4*(1+0.008*K264)^'Balance Controls'!$D$14</f>
        <v>3885.3416447999998</v>
      </c>
      <c r="O264">
        <f t="shared" si="7"/>
        <v>2.7270883411885048E+19</v>
      </c>
    </row>
    <row r="265" spans="11:15" x14ac:dyDescent="0.3">
      <c r="K265">
        <v>254</v>
      </c>
      <c r="L265" s="6">
        <f t="shared" si="6"/>
        <v>1.2926717279303262E+23</v>
      </c>
      <c r="N265">
        <f>K265*$I$8*$B$4*(1+0.008*K265)^'Balance Controls'!$D$14</f>
        <v>3911.0180351999998</v>
      </c>
      <c r="O265">
        <f t="shared" si="7"/>
        <v>3.305205233767791E+19</v>
      </c>
    </row>
    <row r="266" spans="11:15" x14ac:dyDescent="0.3">
      <c r="K266">
        <v>255</v>
      </c>
      <c r="L266" s="6">
        <f t="shared" si="6"/>
        <v>1.577059508074998E+23</v>
      </c>
      <c r="N266">
        <f>K266*$I$8*$B$4*(1+0.008*K266)^'Balance Controls'!$D$14</f>
        <v>3936.7756799999997</v>
      </c>
      <c r="O266">
        <f t="shared" si="7"/>
        <v>4.0059674115721986E+19</v>
      </c>
    </row>
    <row r="267" spans="11:15" x14ac:dyDescent="0.3">
      <c r="K267">
        <v>256</v>
      </c>
      <c r="L267" s="6">
        <f t="shared" ref="L267:L330" si="8">$I$6*($I$7^K267)</f>
        <v>1.9240125998514973E+23</v>
      </c>
      <c r="N267">
        <f>K267*$I$8*$B$4*(1+0.008*K267)^'Balance Controls'!$D$14</f>
        <v>3962.6145791999998</v>
      </c>
      <c r="O267">
        <f t="shared" ref="O267:O330" si="9">L267/N267</f>
        <v>4.8554119039251358E+19</v>
      </c>
    </row>
    <row r="268" spans="11:15" x14ac:dyDescent="0.3">
      <c r="K268">
        <v>257</v>
      </c>
      <c r="L268" s="6">
        <f t="shared" si="8"/>
        <v>2.3472953718188266E+23</v>
      </c>
      <c r="N268">
        <f>K268*$I$8*$B$4*(1+0.008*K268)^'Balance Controls'!$D$14</f>
        <v>3988.5347327999998</v>
      </c>
      <c r="O268">
        <f t="shared" si="9"/>
        <v>5.8851070106414662E+19</v>
      </c>
    </row>
    <row r="269" spans="11:15" x14ac:dyDescent="0.3">
      <c r="K269">
        <v>258</v>
      </c>
      <c r="L269" s="6">
        <f t="shared" si="8"/>
        <v>2.8637003536189689E+23</v>
      </c>
      <c r="N269">
        <f>K269*$I$8*$B$4*(1+0.008*K269)^'Balance Controls'!$D$14</f>
        <v>4014.5361407999994</v>
      </c>
      <c r="O269">
        <f t="shared" si="9"/>
        <v>7.1333281185713848E+19</v>
      </c>
    </row>
    <row r="270" spans="11:15" x14ac:dyDescent="0.3">
      <c r="K270">
        <v>259</v>
      </c>
      <c r="L270" s="6">
        <f t="shared" si="8"/>
        <v>3.4937144314151411E+23</v>
      </c>
      <c r="N270">
        <f>K270*$I$8*$B$4*(1+0.008*K270)^'Balance Controls'!$D$14</f>
        <v>4040.6188032</v>
      </c>
      <c r="O270">
        <f t="shared" si="9"/>
        <v>8.6464836243603735E+19</v>
      </c>
    </row>
    <row r="271" spans="11:15" x14ac:dyDescent="0.3">
      <c r="K271">
        <v>260</v>
      </c>
      <c r="L271" s="6">
        <f t="shared" si="8"/>
        <v>4.262331606326472E+23</v>
      </c>
      <c r="N271">
        <f>K271*$I$8*$B$4*(1+0.008*K271)^'Balance Controls'!$D$14</f>
        <v>4066.7827199999992</v>
      </c>
      <c r="O271">
        <f t="shared" si="9"/>
        <v>1.0480844195006495E+20</v>
      </c>
    </row>
    <row r="272" spans="11:15" x14ac:dyDescent="0.3">
      <c r="K272">
        <v>261</v>
      </c>
      <c r="L272" s="6">
        <f t="shared" si="8"/>
        <v>5.2000445597182964E+23</v>
      </c>
      <c r="N272">
        <f>K272*$I$8*$B$4*(1+0.008*K272)^'Balance Controls'!$D$14</f>
        <v>4093.0278911999999</v>
      </c>
      <c r="O272">
        <f t="shared" si="9"/>
        <v>1.2704639933918798E+20</v>
      </c>
    </row>
    <row r="273" spans="11:15" x14ac:dyDescent="0.3">
      <c r="K273">
        <v>262</v>
      </c>
      <c r="L273" s="6">
        <f t="shared" si="8"/>
        <v>6.3440543628563218E+23</v>
      </c>
      <c r="N273">
        <f>K273*$I$8*$B$4*(1+0.008*K273)^'Balance Controls'!$D$14</f>
        <v>4119.3543167999997</v>
      </c>
      <c r="O273">
        <f t="shared" si="9"/>
        <v>1.5400603771769055E+20</v>
      </c>
    </row>
    <row r="274" spans="11:15" x14ac:dyDescent="0.3">
      <c r="K274">
        <v>263</v>
      </c>
      <c r="L274" s="6">
        <f t="shared" si="8"/>
        <v>7.7397463226847113E+23</v>
      </c>
      <c r="N274">
        <f>K274*$I$8*$B$4*(1+0.008*K274)^'Balance Controls'!$D$14</f>
        <v>4145.7619967999999</v>
      </c>
      <c r="O274">
        <f t="shared" si="9"/>
        <v>1.8669056083438482E+20</v>
      </c>
    </row>
    <row r="275" spans="11:15" x14ac:dyDescent="0.3">
      <c r="K275">
        <v>264</v>
      </c>
      <c r="L275" s="6">
        <f t="shared" si="8"/>
        <v>9.4424905136753468E+23</v>
      </c>
      <c r="N275">
        <f>K275*$I$8*$B$4*(1+0.008*K275)^'Balance Controls'!$D$14</f>
        <v>4172.2509312000002</v>
      </c>
      <c r="O275">
        <f t="shared" si="9"/>
        <v>2.2631645769588333E+20</v>
      </c>
    </row>
    <row r="276" spans="11:15" x14ac:dyDescent="0.3">
      <c r="K276">
        <v>265</v>
      </c>
      <c r="L276" s="6">
        <f t="shared" si="8"/>
        <v>1.1519838426683922E+24</v>
      </c>
      <c r="N276">
        <f>K276*$I$8*$B$4*(1+0.008*K276)^'Balance Controls'!$D$14</f>
        <v>4198.8211199999996</v>
      </c>
      <c r="O276">
        <f t="shared" si="9"/>
        <v>2.7435887591905614E+20</v>
      </c>
    </row>
    <row r="277" spans="11:15" x14ac:dyDescent="0.3">
      <c r="K277">
        <v>266</v>
      </c>
      <c r="L277" s="6">
        <f t="shared" si="8"/>
        <v>1.4054202880554386E+24</v>
      </c>
      <c r="N277">
        <f>K277*$I$8*$B$4*(1+0.008*K277)^'Balance Controls'!$D$14</f>
        <v>4225.4725632</v>
      </c>
      <c r="O277">
        <f t="shared" si="9"/>
        <v>3.326066533469803E+20</v>
      </c>
    </row>
    <row r="278" spans="11:15" x14ac:dyDescent="0.3">
      <c r="K278">
        <v>267</v>
      </c>
      <c r="L278" s="6">
        <f t="shared" si="8"/>
        <v>1.7146127514276347E+24</v>
      </c>
      <c r="N278">
        <f>K278*$I$8*$B$4*(1+0.008*K278)^'Balance Controls'!$D$14</f>
        <v>4252.2052607999995</v>
      </c>
      <c r="O278">
        <f t="shared" si="9"/>
        <v>4.0322906498287239E+20</v>
      </c>
    </row>
    <row r="279" spans="11:15" x14ac:dyDescent="0.3">
      <c r="K279">
        <v>268</v>
      </c>
      <c r="L279" s="6">
        <f t="shared" si="8"/>
        <v>2.0918275567417145E+24</v>
      </c>
      <c r="N279">
        <f>K279*$I$8*$B$4*(1+0.008*K279)^'Balance Controls'!$D$14</f>
        <v>4279.0192127999999</v>
      </c>
      <c r="O279">
        <f t="shared" si="9"/>
        <v>4.8885678065766747E+20</v>
      </c>
    </row>
    <row r="280" spans="11:15" x14ac:dyDescent="0.3">
      <c r="K280">
        <v>269</v>
      </c>
      <c r="L280" s="6">
        <f t="shared" si="8"/>
        <v>2.5520296192248912E+24</v>
      </c>
      <c r="N280">
        <f>K280*$I$8*$B$4*(1+0.008*K280)^'Balance Controls'!$D$14</f>
        <v>4305.9144191999994</v>
      </c>
      <c r="O280">
        <f t="shared" si="9"/>
        <v>5.9268006067316025E+20</v>
      </c>
    </row>
    <row r="281" spans="11:15" x14ac:dyDescent="0.3">
      <c r="K281">
        <v>270</v>
      </c>
      <c r="L281" s="6">
        <f t="shared" si="8"/>
        <v>3.1134761354543676E+24</v>
      </c>
      <c r="N281">
        <f>K281*$I$8*$B$4*(1+0.008*K281)^'Balance Controls'!$D$14</f>
        <v>4332.8908799999999</v>
      </c>
      <c r="O281">
        <f t="shared" si="9"/>
        <v>7.1856786189232806E+20</v>
      </c>
    </row>
    <row r="282" spans="11:15" x14ac:dyDescent="0.3">
      <c r="K282">
        <v>271</v>
      </c>
      <c r="L282" s="6">
        <f t="shared" si="8"/>
        <v>3.7984408852543284E+24</v>
      </c>
      <c r="N282">
        <f>K282*$I$8*$B$4*(1+0.008*K282)^'Balance Controls'!$D$14</f>
        <v>4359.9485952000005</v>
      </c>
      <c r="O282">
        <f t="shared" si="9"/>
        <v>8.7121230957542638E+20</v>
      </c>
    </row>
    <row r="283" spans="11:15" x14ac:dyDescent="0.3">
      <c r="K283">
        <v>272</v>
      </c>
      <c r="L283" s="6">
        <f t="shared" si="8"/>
        <v>4.6340978800102797E+24</v>
      </c>
      <c r="N283">
        <f>K283*$I$8*$B$4*(1+0.008*K283)^'Balance Controls'!$D$14</f>
        <v>4387.0875648000001</v>
      </c>
      <c r="O283">
        <f t="shared" si="9"/>
        <v>1.0563039400426329E+21</v>
      </c>
    </row>
    <row r="284" spans="11:15" x14ac:dyDescent="0.3">
      <c r="K284">
        <v>273</v>
      </c>
      <c r="L284" s="6">
        <f t="shared" si="8"/>
        <v>5.6535994136125407E+24</v>
      </c>
      <c r="N284">
        <f>K284*$I$8*$B$4*(1+0.008*K284)^'Balance Controls'!$D$14</f>
        <v>4414.3077887999998</v>
      </c>
      <c r="O284">
        <f t="shared" si="9"/>
        <v>1.2807442716062701E+21</v>
      </c>
    </row>
    <row r="285" spans="11:15" x14ac:dyDescent="0.3">
      <c r="K285">
        <v>274</v>
      </c>
      <c r="L285" s="6">
        <f t="shared" si="8"/>
        <v>6.8973912846072996E+24</v>
      </c>
      <c r="N285">
        <f>K285*$I$8*$B$4*(1+0.008*K285)^'Balance Controls'!$D$14</f>
        <v>4441.6092671999995</v>
      </c>
      <c r="O285">
        <f t="shared" si="9"/>
        <v>1.5529036593881728E+21</v>
      </c>
    </row>
    <row r="286" spans="11:15" x14ac:dyDescent="0.3">
      <c r="K286">
        <v>275</v>
      </c>
      <c r="L286" s="6">
        <f t="shared" si="8"/>
        <v>8.4148173672209063E+24</v>
      </c>
      <c r="N286">
        <f>K286*$I$8*$B$4*(1+0.008*K286)^'Balance Controls'!$D$14</f>
        <v>4468.9920000000002</v>
      </c>
      <c r="O286">
        <f t="shared" si="9"/>
        <v>1.8829340860804642E+21</v>
      </c>
    </row>
    <row r="287" spans="11:15" x14ac:dyDescent="0.3">
      <c r="K287">
        <v>276</v>
      </c>
      <c r="L287" s="6">
        <f t="shared" si="8"/>
        <v>1.0266077188009505E+25</v>
      </c>
      <c r="N287">
        <f>K287*$I$8*$B$4*(1+0.008*K287)^'Balance Controls'!$D$14</f>
        <v>4496.4559872</v>
      </c>
      <c r="O287">
        <f t="shared" si="9"/>
        <v>2.2831485990819896E+21</v>
      </c>
    </row>
    <row r="288" spans="11:15" x14ac:dyDescent="0.3">
      <c r="K288">
        <v>277</v>
      </c>
      <c r="L288" s="6">
        <f t="shared" si="8"/>
        <v>1.2524614169371594E+25</v>
      </c>
      <c r="N288">
        <f>K288*$I$8*$B$4*(1+0.008*K288)^'Balance Controls'!$D$14</f>
        <v>4524.0012287999998</v>
      </c>
      <c r="O288">
        <f t="shared" si="9"/>
        <v>2.7684816020029624E+21</v>
      </c>
    </row>
    <row r="289" spans="11:15" x14ac:dyDescent="0.3">
      <c r="K289">
        <v>278</v>
      </c>
      <c r="L289" s="6">
        <f t="shared" si="8"/>
        <v>1.5280029286633345E+25</v>
      </c>
      <c r="N289">
        <f>K289*$I$8*$B$4*(1+0.008*K289)^'Balance Controls'!$D$14</f>
        <v>4551.6277247999997</v>
      </c>
      <c r="O289">
        <f t="shared" si="9"/>
        <v>3.3570472390302425E+21</v>
      </c>
    </row>
    <row r="290" spans="11:15" x14ac:dyDescent="0.3">
      <c r="K290">
        <v>279</v>
      </c>
      <c r="L290" s="6">
        <f t="shared" si="8"/>
        <v>1.8641635729692683E+25</v>
      </c>
      <c r="N290">
        <f>K290*$I$8*$B$4*(1+0.008*K290)^'Balance Controls'!$D$14</f>
        <v>4579.3354751999996</v>
      </c>
      <c r="O290">
        <f t="shared" si="9"/>
        <v>4.070816787861239E+21</v>
      </c>
    </row>
    <row r="291" spans="11:15" x14ac:dyDescent="0.3">
      <c r="K291">
        <v>280</v>
      </c>
      <c r="L291" s="6">
        <f t="shared" si="8"/>
        <v>2.2742795590225071E+25</v>
      </c>
      <c r="N291">
        <f>K291*$I$8*$B$4*(1+0.008*K291)^'Balance Controls'!$D$14</f>
        <v>4607.1244799999995</v>
      </c>
      <c r="O291">
        <f t="shared" si="9"/>
        <v>4.9364404389232121E+21</v>
      </c>
    </row>
    <row r="292" spans="11:15" x14ac:dyDescent="0.3">
      <c r="K292">
        <v>281</v>
      </c>
      <c r="L292" s="6">
        <f t="shared" si="8"/>
        <v>2.7746210620074586E+25</v>
      </c>
      <c r="N292">
        <f>K292*$I$8*$B$4*(1+0.008*K292)^'Balance Controls'!$D$14</f>
        <v>4634.9947391999995</v>
      </c>
      <c r="O292">
        <f t="shared" si="9"/>
        <v>5.9862442529683617E+21</v>
      </c>
    </row>
    <row r="293" spans="11:15" x14ac:dyDescent="0.3">
      <c r="K293">
        <v>282</v>
      </c>
      <c r="L293" s="6">
        <f t="shared" si="8"/>
        <v>3.3850376956490992E+25</v>
      </c>
      <c r="N293">
        <f>K293*$I$8*$B$4*(1+0.008*K293)^'Balance Controls'!$D$14</f>
        <v>4662.9462528000004</v>
      </c>
      <c r="O293">
        <f t="shared" si="9"/>
        <v>7.2594396592421711E+21</v>
      </c>
    </row>
    <row r="294" spans="11:15" x14ac:dyDescent="0.3">
      <c r="K294">
        <v>283</v>
      </c>
      <c r="L294" s="6">
        <f t="shared" si="8"/>
        <v>4.1297459886919005E+25</v>
      </c>
      <c r="N294">
        <f>K294*$I$8*$B$4*(1+0.008*K294)^'Balance Controls'!$D$14</f>
        <v>4690.9790207999995</v>
      </c>
      <c r="O294">
        <f t="shared" si="9"/>
        <v>8.8035908290794561E+21</v>
      </c>
    </row>
    <row r="295" spans="11:15" x14ac:dyDescent="0.3">
      <c r="K295">
        <v>284</v>
      </c>
      <c r="L295" s="6">
        <f t="shared" si="8"/>
        <v>5.0382901062041181E+25</v>
      </c>
      <c r="N295">
        <f>K295*$I$8*$B$4*(1+0.008*K295)^'Balance Controls'!$D$14</f>
        <v>4719.0930432000005</v>
      </c>
      <c r="O295">
        <f t="shared" si="9"/>
        <v>1.0676394934539521E+22</v>
      </c>
    </row>
    <row r="296" spans="11:15" x14ac:dyDescent="0.3">
      <c r="K296">
        <v>285</v>
      </c>
      <c r="L296" s="6">
        <f t="shared" si="8"/>
        <v>6.1467139295690243E+25</v>
      </c>
      <c r="N296">
        <f>K296*$I$8*$B$4*(1+0.008*K296)^'Balance Controls'!$D$14</f>
        <v>4747.2883199999997</v>
      </c>
      <c r="O296">
        <f t="shared" si="9"/>
        <v>1.2947842042105048E+22</v>
      </c>
    </row>
    <row r="297" spans="11:15" x14ac:dyDescent="0.3">
      <c r="K297">
        <v>286</v>
      </c>
      <c r="L297" s="6">
        <f t="shared" si="8"/>
        <v>7.4989909940742084E+25</v>
      </c>
      <c r="N297">
        <f>K297*$I$8*$B$4*(1+0.008*K297)^'Balance Controls'!$D$14</f>
        <v>4775.5648511999998</v>
      </c>
      <c r="O297">
        <f t="shared" si="9"/>
        <v>1.5702835638782852E+22</v>
      </c>
    </row>
    <row r="298" spans="11:15" x14ac:dyDescent="0.3">
      <c r="K298">
        <v>287</v>
      </c>
      <c r="L298" s="6">
        <f t="shared" si="8"/>
        <v>9.1487690127705355E+25</v>
      </c>
      <c r="N298">
        <f>K298*$I$8*$B$4*(1+0.008*K298)^'Balance Controls'!$D$14</f>
        <v>4803.9226368</v>
      </c>
      <c r="O298">
        <f t="shared" si="9"/>
        <v>1.9044372077700098E+22</v>
      </c>
    </row>
    <row r="299" spans="11:15" x14ac:dyDescent="0.3">
      <c r="K299">
        <v>288</v>
      </c>
      <c r="L299" s="6">
        <f t="shared" si="8"/>
        <v>1.1161498195580052E+26</v>
      </c>
      <c r="N299">
        <f>K299*$I$8*$B$4*(1+0.008*K299)^'Balance Controls'!$D$14</f>
        <v>4832.3616768000002</v>
      </c>
      <c r="O299">
        <f t="shared" si="9"/>
        <v>2.3097398212484831E+22</v>
      </c>
    </row>
    <row r="300" spans="11:15" x14ac:dyDescent="0.3">
      <c r="K300">
        <v>289</v>
      </c>
      <c r="L300" s="6">
        <f t="shared" si="8"/>
        <v>1.3617027798607663E+26</v>
      </c>
      <c r="N300">
        <f>K300*$I$8*$B$4*(1+0.008*K300)^'Balance Controls'!$D$14</f>
        <v>4860.8819711999986</v>
      </c>
      <c r="O300">
        <f t="shared" si="9"/>
        <v>2.8013491953284453E+22</v>
      </c>
    </row>
    <row r="301" spans="11:15" x14ac:dyDescent="0.3">
      <c r="K301">
        <v>290</v>
      </c>
      <c r="L301" s="6">
        <f t="shared" si="8"/>
        <v>1.6612773914301346E+26</v>
      </c>
      <c r="N301">
        <f>K301*$I$8*$B$4*(1+0.008*K301)^'Balance Controls'!$D$14</f>
        <v>4889.4835199999998</v>
      </c>
      <c r="O301">
        <f t="shared" si="9"/>
        <v>3.3976541379776135E+22</v>
      </c>
    </row>
    <row r="302" spans="11:15" x14ac:dyDescent="0.3">
      <c r="K302">
        <v>291</v>
      </c>
      <c r="L302" s="6">
        <f t="shared" si="8"/>
        <v>2.0267584175447644E+26</v>
      </c>
      <c r="N302">
        <f>K302*$I$8*$B$4*(1+0.008*K302)^'Balance Controls'!$D$14</f>
        <v>4918.1663232000001</v>
      </c>
      <c r="O302">
        <f t="shared" si="9"/>
        <v>4.1209635550227914E+22</v>
      </c>
    </row>
    <row r="303" spans="11:15" x14ac:dyDescent="0.3">
      <c r="K303">
        <v>292</v>
      </c>
      <c r="L303" s="6">
        <f t="shared" si="8"/>
        <v>2.4726452694046123E+26</v>
      </c>
      <c r="N303">
        <f>K303*$I$8*$B$4*(1+0.008*K303)^'Balance Controls'!$D$14</f>
        <v>4946.9303807999995</v>
      </c>
      <c r="O303">
        <f t="shared" si="9"/>
        <v>4.9983425661323845E+22</v>
      </c>
    </row>
    <row r="304" spans="11:15" x14ac:dyDescent="0.3">
      <c r="K304">
        <v>293</v>
      </c>
      <c r="L304" s="6">
        <f t="shared" si="8"/>
        <v>3.0166272286736273E+26</v>
      </c>
      <c r="N304">
        <f>K304*$I$8*$B$4*(1+0.008*K304)^'Balance Controls'!$D$14</f>
        <v>4975.7756927999999</v>
      </c>
      <c r="O304">
        <f t="shared" si="9"/>
        <v>6.0626270453443447E+22</v>
      </c>
    </row>
    <row r="305" spans="11:15" x14ac:dyDescent="0.3">
      <c r="K305">
        <v>294</v>
      </c>
      <c r="L305" s="6">
        <f t="shared" si="8"/>
        <v>3.6802852189818248E+26</v>
      </c>
      <c r="N305">
        <f>K305*$I$8*$B$4*(1+0.008*K305)^'Balance Controls'!$D$14</f>
        <v>5004.7022591999994</v>
      </c>
      <c r="O305">
        <f t="shared" si="9"/>
        <v>7.3536546798892239E+22</v>
      </c>
    </row>
    <row r="306" spans="11:15" x14ac:dyDescent="0.3">
      <c r="K306">
        <v>295</v>
      </c>
      <c r="L306" s="6">
        <f t="shared" si="8"/>
        <v>4.4899479671578269E+26</v>
      </c>
      <c r="N306">
        <f>K306*$I$8*$B$4*(1+0.008*K306)^'Balance Controls'!$D$14</f>
        <v>5033.7100799999998</v>
      </c>
      <c r="O306">
        <f t="shared" si="9"/>
        <v>8.9197587779187854E+22</v>
      </c>
    </row>
    <row r="307" spans="11:15" x14ac:dyDescent="0.3">
      <c r="K307">
        <v>296</v>
      </c>
      <c r="L307" s="6">
        <f t="shared" si="8"/>
        <v>5.4777365199325474E+26</v>
      </c>
      <c r="N307">
        <f>K307*$I$8*$B$4*(1+0.008*K307)^'Balance Controls'!$D$14</f>
        <v>5062.7991551999994</v>
      </c>
      <c r="O307">
        <f t="shared" si="9"/>
        <v>1.0819580931442571E+23</v>
      </c>
    </row>
    <row r="308" spans="11:15" x14ac:dyDescent="0.3">
      <c r="K308">
        <v>297</v>
      </c>
      <c r="L308" s="6">
        <f t="shared" si="8"/>
        <v>6.6828385543177072E+26</v>
      </c>
      <c r="N308">
        <f>K308*$I$8*$B$4*(1+0.008*K308)^'Balance Controls'!$D$14</f>
        <v>5091.9694847999999</v>
      </c>
      <c r="O308">
        <f t="shared" si="9"/>
        <v>1.3124270627046369E+23</v>
      </c>
    </row>
    <row r="309" spans="11:15" x14ac:dyDescent="0.3">
      <c r="K309">
        <v>298</v>
      </c>
      <c r="L309" s="6">
        <f t="shared" si="8"/>
        <v>8.153063036267602E+26</v>
      </c>
      <c r="N309">
        <f>K309*$I$8*$B$4*(1+0.008*K309)^'Balance Controls'!$D$14</f>
        <v>5121.2210687999986</v>
      </c>
      <c r="O309">
        <f t="shared" si="9"/>
        <v>1.592015444507656E+23</v>
      </c>
    </row>
    <row r="310" spans="11:15" x14ac:dyDescent="0.3">
      <c r="K310">
        <v>299</v>
      </c>
      <c r="L310" s="6">
        <f t="shared" si="8"/>
        <v>9.9467369042464753E+26</v>
      </c>
      <c r="N310">
        <f>K310*$I$8*$B$4*(1+0.008*K310)^'Balance Controls'!$D$14</f>
        <v>5150.5539071999992</v>
      </c>
      <c r="O310">
        <f t="shared" si="9"/>
        <v>1.931197514570589E+23</v>
      </c>
    </row>
    <row r="311" spans="11:15" x14ac:dyDescent="0.3">
      <c r="K311">
        <v>300</v>
      </c>
      <c r="L311" s="6">
        <f t="shared" si="8"/>
        <v>1.2135019023180697E+27</v>
      </c>
      <c r="N311">
        <f>K311*$I$8*$B$4*(1+0.008*K311)^'Balance Controls'!$D$14</f>
        <v>5179.9679999999998</v>
      </c>
      <c r="O311">
        <f t="shared" si="9"/>
        <v>2.3426822372610597E+23</v>
      </c>
    </row>
    <row r="312" spans="11:15" x14ac:dyDescent="0.3">
      <c r="K312">
        <v>301</v>
      </c>
      <c r="L312" s="6">
        <f t="shared" si="8"/>
        <v>1.480472320828045E+27</v>
      </c>
      <c r="N312">
        <f>K312*$I$8*$B$4*(1+0.008*K312)^'Balance Controls'!$D$14</f>
        <v>5209.4633471999996</v>
      </c>
      <c r="O312">
        <f t="shared" si="9"/>
        <v>2.8418902719102043E+23</v>
      </c>
    </row>
    <row r="313" spans="11:15" x14ac:dyDescent="0.3">
      <c r="K313">
        <v>302</v>
      </c>
      <c r="L313" s="6">
        <f t="shared" si="8"/>
        <v>1.8061762314102148E+27</v>
      </c>
      <c r="N313">
        <f>K313*$I$8*$B$4*(1+0.008*K313)^'Balance Controls'!$D$14</f>
        <v>5239.0399487999994</v>
      </c>
      <c r="O313">
        <f t="shared" si="9"/>
        <v>3.4475328477384848E+23</v>
      </c>
    </row>
    <row r="314" spans="11:15" x14ac:dyDescent="0.3">
      <c r="K314">
        <v>303</v>
      </c>
      <c r="L314" s="6">
        <f t="shared" si="8"/>
        <v>2.2035350023204625E+27</v>
      </c>
      <c r="N314">
        <f>K314*$I$8*$B$4*(1+0.008*K314)^'Balance Controls'!$D$14</f>
        <v>5268.6978047999992</v>
      </c>
      <c r="O314">
        <f t="shared" si="9"/>
        <v>4.1823142718736916E+23</v>
      </c>
    </row>
    <row r="315" spans="11:15" x14ac:dyDescent="0.3">
      <c r="K315">
        <v>304</v>
      </c>
      <c r="L315" s="6">
        <f t="shared" si="8"/>
        <v>2.6883127028309637E+27</v>
      </c>
      <c r="N315">
        <f>K315*$I$8*$B$4*(1+0.008*K315)^'Balance Controls'!$D$14</f>
        <v>5298.4369151999999</v>
      </c>
      <c r="O315">
        <f t="shared" si="9"/>
        <v>5.0737844874944368E+23</v>
      </c>
    </row>
    <row r="316" spans="11:15" x14ac:dyDescent="0.3">
      <c r="K316">
        <v>305</v>
      </c>
      <c r="L316" s="6">
        <f t="shared" si="8"/>
        <v>3.2797414974537754E+27</v>
      </c>
      <c r="N316">
        <f>K316*$I$8*$B$4*(1+0.008*K316)^'Balance Controls'!$D$14</f>
        <v>5328.2572799999989</v>
      </c>
      <c r="O316">
        <f t="shared" si="9"/>
        <v>6.1553737462425543E+23</v>
      </c>
    </row>
    <row r="317" spans="11:15" x14ac:dyDescent="0.3">
      <c r="K317">
        <v>306</v>
      </c>
      <c r="L317" s="6">
        <f t="shared" si="8"/>
        <v>4.0012846268936064E+27</v>
      </c>
      <c r="N317">
        <f>K317*$I$8*$B$4*(1+0.008*K317)^'Balance Controls'!$D$14</f>
        <v>5358.1588991999997</v>
      </c>
      <c r="O317">
        <f t="shared" si="9"/>
        <v>7.4676483138471664E+23</v>
      </c>
    </row>
    <row r="318" spans="11:15" x14ac:dyDescent="0.3">
      <c r="K318">
        <v>307</v>
      </c>
      <c r="L318" s="6">
        <f t="shared" si="8"/>
        <v>4.8815672448101991E+27</v>
      </c>
      <c r="N318">
        <f>K318*$I$8*$B$4*(1+0.008*K318)^'Balance Controls'!$D$14</f>
        <v>5388.1417727999988</v>
      </c>
      <c r="O318">
        <f t="shared" si="9"/>
        <v>9.0598344487759206E+23</v>
      </c>
    </row>
    <row r="319" spans="11:15" x14ac:dyDescent="0.3">
      <c r="K319">
        <v>308</v>
      </c>
      <c r="L319" s="6">
        <f t="shared" si="8"/>
        <v>5.9555120386684425E+27</v>
      </c>
      <c r="N319">
        <f>K319*$I$8*$B$4*(1+0.008*K319)^'Balance Controls'!$D$14</f>
        <v>5418.2059007999997</v>
      </c>
      <c r="O319">
        <f t="shared" si="9"/>
        <v>1.0991667994361583E+24</v>
      </c>
    </row>
    <row r="320" spans="11:15" x14ac:dyDescent="0.3">
      <c r="K320">
        <v>309</v>
      </c>
      <c r="L320" s="6">
        <f t="shared" si="8"/>
        <v>7.2657246871754992E+27</v>
      </c>
      <c r="N320">
        <f>K320*$I$8*$B$4*(1+0.008*K320)^'Balance Controls'!$D$14</f>
        <v>5448.3512831999988</v>
      </c>
      <c r="O320">
        <f t="shared" si="9"/>
        <v>1.3335639186077034E+24</v>
      </c>
    </row>
    <row r="321" spans="11:15" x14ac:dyDescent="0.3">
      <c r="K321">
        <v>310</v>
      </c>
      <c r="L321" s="6">
        <f t="shared" si="8"/>
        <v>8.8641841183541099E+27</v>
      </c>
      <c r="N321">
        <f>K321*$I$8*$B$4*(1+0.008*K321)^'Balance Controls'!$D$14</f>
        <v>5478.5779199999997</v>
      </c>
      <c r="O321">
        <f t="shared" si="9"/>
        <v>1.6179717159802868E+24</v>
      </c>
    </row>
    <row r="322" spans="11:15" x14ac:dyDescent="0.3">
      <c r="K322">
        <v>311</v>
      </c>
      <c r="L322" s="6">
        <f t="shared" si="8"/>
        <v>1.0814304624392015E+28</v>
      </c>
      <c r="N322">
        <f>K322*$I$8*$B$4*(1+0.008*K322)^'Balance Controls'!$D$14</f>
        <v>5508.8858111999998</v>
      </c>
      <c r="O322">
        <f t="shared" si="9"/>
        <v>1.9630656715384588E+24</v>
      </c>
    </row>
    <row r="323" spans="11:15" x14ac:dyDescent="0.3">
      <c r="K323">
        <v>312</v>
      </c>
      <c r="L323" s="6">
        <f t="shared" si="8"/>
        <v>1.3193451641758257E+28</v>
      </c>
      <c r="N323">
        <f>K323*$I$8*$B$4*(1+0.008*K323)^'Balance Controls'!$D$14</f>
        <v>5539.274956799999</v>
      </c>
      <c r="O323">
        <f t="shared" si="9"/>
        <v>2.3818011824024028E+24</v>
      </c>
    </row>
    <row r="324" spans="11:15" x14ac:dyDescent="0.3">
      <c r="K324">
        <v>313</v>
      </c>
      <c r="L324" s="6">
        <f t="shared" si="8"/>
        <v>1.609601100294507E+28</v>
      </c>
      <c r="N324">
        <f>K324*$I$8*$B$4*(1+0.008*K324)^'Balance Controls'!$D$14</f>
        <v>5569.7453568000001</v>
      </c>
      <c r="O324">
        <f t="shared" si="9"/>
        <v>2.8899006995524031E+24</v>
      </c>
    </row>
    <row r="325" spans="11:15" x14ac:dyDescent="0.3">
      <c r="K325">
        <v>314</v>
      </c>
      <c r="L325" s="6">
        <f t="shared" si="8"/>
        <v>1.963713342359299E+28</v>
      </c>
      <c r="N325">
        <f>K325*$I$8*$B$4*(1+0.008*K325)^'Balance Controls'!$D$14</f>
        <v>5600.2970111999994</v>
      </c>
      <c r="O325">
        <f t="shared" si="9"/>
        <v>3.5064449946709629E+24</v>
      </c>
    </row>
    <row r="326" spans="11:15" x14ac:dyDescent="0.3">
      <c r="K326">
        <v>315</v>
      </c>
      <c r="L326" s="6">
        <f t="shared" si="8"/>
        <v>2.3957302776783444E+28</v>
      </c>
      <c r="N326">
        <f>K326*$I$8*$B$4*(1+0.008*K326)^'Balance Controls'!$D$14</f>
        <v>5630.9299199999996</v>
      </c>
      <c r="O326">
        <f t="shared" si="9"/>
        <v>4.2545908255209551E+24</v>
      </c>
    </row>
    <row r="327" spans="11:15" x14ac:dyDescent="0.3">
      <c r="K327">
        <v>316</v>
      </c>
      <c r="L327" s="6">
        <f t="shared" si="8"/>
        <v>2.9227909387675796E+28</v>
      </c>
      <c r="N327">
        <f>K327*$I$8*$B$4*(1+0.008*K327)^'Balance Controls'!$D$14</f>
        <v>5661.6440831999989</v>
      </c>
      <c r="O327">
        <f t="shared" si="9"/>
        <v>5.1624420324133106E+24</v>
      </c>
    </row>
    <row r="328" spans="11:15" x14ac:dyDescent="0.3">
      <c r="K328">
        <v>317</v>
      </c>
      <c r="L328" s="6">
        <f t="shared" si="8"/>
        <v>3.5658049452964471E+28</v>
      </c>
      <c r="N328">
        <f>K328*$I$8*$B$4*(1+0.008*K328)^'Balance Controls'!$D$14</f>
        <v>5692.4395007999992</v>
      </c>
      <c r="O328">
        <f t="shared" si="9"/>
        <v>6.2641068821114721E+24</v>
      </c>
    </row>
    <row r="329" spans="11:15" x14ac:dyDescent="0.3">
      <c r="K329">
        <v>318</v>
      </c>
      <c r="L329" s="6">
        <f t="shared" si="8"/>
        <v>4.3502820332616656E+28</v>
      </c>
      <c r="N329">
        <f>K329*$I$8*$B$4*(1+0.008*K329)^'Balance Controls'!$D$14</f>
        <v>5723.3161727999995</v>
      </c>
      <c r="O329">
        <f t="shared" si="9"/>
        <v>7.6009814972940613E+24</v>
      </c>
    </row>
    <row r="330" spans="11:15" x14ac:dyDescent="0.3">
      <c r="K330">
        <v>319</v>
      </c>
      <c r="L330" s="6">
        <f t="shared" si="8"/>
        <v>5.3073440805792322E+28</v>
      </c>
      <c r="N330">
        <f>K330*$I$8*$B$4*(1+0.008*K330)^'Balance Controls'!$D$14</f>
        <v>5754.2740991999999</v>
      </c>
      <c r="O330">
        <f t="shared" si="9"/>
        <v>9.2233077345361375E+24</v>
      </c>
    </row>
    <row r="331" spans="11:15" x14ac:dyDescent="0.3">
      <c r="K331">
        <v>320</v>
      </c>
      <c r="L331" s="6">
        <f t="shared" ref="L331:L394" si="10">$I$6*($I$7^K331)</f>
        <v>6.4749597783066612E+28</v>
      </c>
      <c r="N331">
        <f>K331*$I$8*$B$4*(1+0.008*K331)^'Balance Controls'!$D$14</f>
        <v>5785.3132800000003</v>
      </c>
      <c r="O331">
        <f t="shared" ref="O331:O394" si="11">L331/N331</f>
        <v>1.1192064223541341E+25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331"/>
  <sheetViews>
    <sheetView tabSelected="1" topLeftCell="C7" workbookViewId="0">
      <selection activeCell="I16" sqref="I16"/>
    </sheetView>
  </sheetViews>
  <sheetFormatPr defaultRowHeight="14.4" x14ac:dyDescent="0.3"/>
  <cols>
    <col min="8" max="8" width="25" customWidth="1"/>
    <col min="9" max="9" width="16.5546875" customWidth="1"/>
    <col min="11" max="11" width="12" customWidth="1"/>
    <col min="12" max="12" width="37" customWidth="1"/>
    <col min="13" max="13" width="12.77734375" customWidth="1"/>
    <col min="14" max="14" width="26.21875" customWidth="1"/>
    <col min="15" max="15" width="24.33203125" customWidth="1"/>
  </cols>
  <sheetData>
    <row r="2" spans="1:17" x14ac:dyDescent="0.3">
      <c r="A2" s="22" t="s">
        <v>181</v>
      </c>
      <c r="H2" s="4"/>
    </row>
    <row r="3" spans="1:17" x14ac:dyDescent="0.3">
      <c r="A3" t="s">
        <v>182</v>
      </c>
      <c r="B3" s="20">
        <f>'Balance Controls'!B5</f>
        <v>20</v>
      </c>
      <c r="H3" s="4"/>
      <c r="I3" t="s">
        <v>197</v>
      </c>
    </row>
    <row r="4" spans="1:17" x14ac:dyDescent="0.3">
      <c r="A4" t="s">
        <v>183</v>
      </c>
      <c r="B4" s="20">
        <f>'Balance Controls'!H5</f>
        <v>1</v>
      </c>
      <c r="H4" s="4"/>
    </row>
    <row r="5" spans="1:17" x14ac:dyDescent="0.3">
      <c r="A5" t="s">
        <v>184</v>
      </c>
      <c r="B5" s="20">
        <f>'Balance Controls'!I5</f>
        <v>1</v>
      </c>
      <c r="H5" s="4" t="s">
        <v>185</v>
      </c>
    </row>
    <row r="6" spans="1:17" x14ac:dyDescent="0.3">
      <c r="A6" t="s">
        <v>186</v>
      </c>
      <c r="B6" s="20">
        <f>'Balance Controls'!J5</f>
        <v>1</v>
      </c>
      <c r="H6" s="4" t="s">
        <v>3</v>
      </c>
      <c r="I6">
        <v>250</v>
      </c>
    </row>
    <row r="7" spans="1:17" x14ac:dyDescent="0.3">
      <c r="A7" t="s">
        <v>187</v>
      </c>
      <c r="B7" s="20">
        <f>'Balance Controls'!K5</f>
        <v>1</v>
      </c>
      <c r="H7" s="4" t="s">
        <v>188</v>
      </c>
      <c r="I7">
        <v>1.22</v>
      </c>
    </row>
    <row r="8" spans="1:17" x14ac:dyDescent="0.3">
      <c r="A8" t="s">
        <v>189</v>
      </c>
      <c r="B8" s="20">
        <f>'Balance Controls'!L5</f>
        <v>1</v>
      </c>
      <c r="H8" s="4" t="s">
        <v>190</v>
      </c>
      <c r="I8">
        <v>45</v>
      </c>
    </row>
    <row r="9" spans="1:17" x14ac:dyDescent="0.3">
      <c r="A9" t="s">
        <v>191</v>
      </c>
      <c r="B9" s="20">
        <f>'Balance Controls'!M5</f>
        <v>1</v>
      </c>
      <c r="H9" s="4"/>
    </row>
    <row r="10" spans="1:17" x14ac:dyDescent="0.3">
      <c r="A10" t="s">
        <v>192</v>
      </c>
      <c r="B10" s="20">
        <f>'Balance Controls'!N5</f>
        <v>1</v>
      </c>
      <c r="H10" s="4" t="s">
        <v>198</v>
      </c>
      <c r="I10">
        <v>45</v>
      </c>
      <c r="K10" t="s">
        <v>23</v>
      </c>
      <c r="L10" t="s">
        <v>193</v>
      </c>
      <c r="M10" t="s">
        <v>194</v>
      </c>
      <c r="N10" t="s">
        <v>195</v>
      </c>
      <c r="O10" t="s">
        <v>196</v>
      </c>
      <c r="Q10" t="s">
        <v>199</v>
      </c>
    </row>
    <row r="11" spans="1:17" x14ac:dyDescent="0.3">
      <c r="H11" s="4" t="s">
        <v>200</v>
      </c>
      <c r="I11">
        <v>0.1</v>
      </c>
      <c r="K11">
        <v>0</v>
      </c>
      <c r="L11" s="6">
        <f t="shared" ref="L11:L74" si="0">$I$6*($I$7^K11)</f>
        <v>250</v>
      </c>
      <c r="N11">
        <f t="shared" ref="N11:N74" si="1">K11*$I$8*$B$4</f>
        <v>0</v>
      </c>
      <c r="O11" t="e">
        <f t="shared" ref="O11:O74" si="2">L11/N11</f>
        <v>#DIV/0!</v>
      </c>
      <c r="Q11">
        <f t="shared" ref="Q11:Q74" si="3">K11*$I$11*$B$5</f>
        <v>0</v>
      </c>
    </row>
    <row r="12" spans="1:17" x14ac:dyDescent="0.3">
      <c r="H12" s="4"/>
      <c r="K12">
        <v>1</v>
      </c>
      <c r="L12" s="6">
        <f t="shared" si="0"/>
        <v>305</v>
      </c>
      <c r="N12">
        <f t="shared" si="1"/>
        <v>45</v>
      </c>
      <c r="O12">
        <f t="shared" si="2"/>
        <v>6.7777777777777777</v>
      </c>
      <c r="Q12">
        <f t="shared" si="3"/>
        <v>0.1</v>
      </c>
    </row>
    <row r="13" spans="1:17" x14ac:dyDescent="0.3">
      <c r="H13" s="4"/>
      <c r="K13">
        <v>2</v>
      </c>
      <c r="L13" s="6">
        <f t="shared" si="0"/>
        <v>372.09999999999997</v>
      </c>
      <c r="N13">
        <f t="shared" si="1"/>
        <v>90</v>
      </c>
      <c r="O13">
        <f t="shared" si="2"/>
        <v>4.1344444444444441</v>
      </c>
      <c r="Q13">
        <f t="shared" si="3"/>
        <v>0.2</v>
      </c>
    </row>
    <row r="14" spans="1:17" x14ac:dyDescent="0.3">
      <c r="H14" s="4"/>
      <c r="K14">
        <v>3</v>
      </c>
      <c r="L14" s="6">
        <f t="shared" si="0"/>
        <v>453.96199999999999</v>
      </c>
      <c r="N14">
        <f t="shared" si="1"/>
        <v>135</v>
      </c>
      <c r="O14">
        <f t="shared" si="2"/>
        <v>3.3626814814814816</v>
      </c>
      <c r="Q14">
        <f t="shared" si="3"/>
        <v>0.30000000000000004</v>
      </c>
    </row>
    <row r="15" spans="1:17" x14ac:dyDescent="0.3">
      <c r="H15" s="4"/>
      <c r="K15">
        <v>4</v>
      </c>
      <c r="L15" s="6">
        <f t="shared" si="0"/>
        <v>553.83363999999995</v>
      </c>
      <c r="N15">
        <f t="shared" si="1"/>
        <v>180</v>
      </c>
      <c r="O15">
        <f t="shared" si="2"/>
        <v>3.0768535555555552</v>
      </c>
      <c r="Q15">
        <f t="shared" si="3"/>
        <v>0.4</v>
      </c>
    </row>
    <row r="16" spans="1:17" x14ac:dyDescent="0.3">
      <c r="H16" s="4"/>
      <c r="K16">
        <v>5</v>
      </c>
      <c r="L16" s="6">
        <f t="shared" si="0"/>
        <v>675.67704079999987</v>
      </c>
      <c r="N16">
        <f t="shared" si="1"/>
        <v>225</v>
      </c>
      <c r="O16">
        <f t="shared" si="2"/>
        <v>3.0030090702222219</v>
      </c>
      <c r="Q16">
        <f t="shared" si="3"/>
        <v>0.5</v>
      </c>
    </row>
    <row r="17" spans="8:17" x14ac:dyDescent="0.3">
      <c r="H17" s="4"/>
      <c r="K17">
        <v>6</v>
      </c>
      <c r="L17" s="6">
        <f t="shared" si="0"/>
        <v>824.3259897759998</v>
      </c>
      <c r="N17">
        <f t="shared" si="1"/>
        <v>270</v>
      </c>
      <c r="O17">
        <f t="shared" si="2"/>
        <v>3.053059221392592</v>
      </c>
      <c r="Q17">
        <f t="shared" si="3"/>
        <v>0.60000000000000009</v>
      </c>
    </row>
    <row r="18" spans="8:17" x14ac:dyDescent="0.3">
      <c r="H18" s="4"/>
      <c r="K18">
        <v>7</v>
      </c>
      <c r="L18" s="6">
        <f t="shared" si="0"/>
        <v>1005.6777075267198</v>
      </c>
      <c r="N18">
        <f t="shared" si="1"/>
        <v>315</v>
      </c>
      <c r="O18">
        <f t="shared" si="2"/>
        <v>3.1926276429419675</v>
      </c>
      <c r="Q18">
        <f t="shared" si="3"/>
        <v>0.70000000000000007</v>
      </c>
    </row>
    <row r="19" spans="8:17" x14ac:dyDescent="0.3">
      <c r="H19" s="4"/>
      <c r="K19">
        <v>8</v>
      </c>
      <c r="L19" s="6">
        <f t="shared" si="0"/>
        <v>1226.926803182598</v>
      </c>
      <c r="N19">
        <f t="shared" si="1"/>
        <v>360</v>
      </c>
      <c r="O19">
        <f t="shared" si="2"/>
        <v>3.40813000884055</v>
      </c>
      <c r="Q19">
        <f t="shared" si="3"/>
        <v>0.8</v>
      </c>
    </row>
    <row r="20" spans="8:17" x14ac:dyDescent="0.3">
      <c r="H20" s="4"/>
      <c r="K20">
        <v>9</v>
      </c>
      <c r="L20" s="6">
        <f t="shared" si="0"/>
        <v>1496.8506998827695</v>
      </c>
      <c r="N20">
        <f t="shared" si="1"/>
        <v>405</v>
      </c>
      <c r="O20">
        <f t="shared" si="2"/>
        <v>3.6959276540315296</v>
      </c>
      <c r="Q20">
        <f t="shared" si="3"/>
        <v>0.9</v>
      </c>
    </row>
    <row r="21" spans="8:17" x14ac:dyDescent="0.3">
      <c r="H21" s="4"/>
      <c r="K21">
        <v>10</v>
      </c>
      <c r="L21" s="6">
        <f t="shared" si="0"/>
        <v>1826.1578538569788</v>
      </c>
      <c r="N21">
        <f t="shared" si="1"/>
        <v>450</v>
      </c>
      <c r="O21">
        <f t="shared" si="2"/>
        <v>4.0581285641266192</v>
      </c>
      <c r="Q21">
        <f t="shared" si="3"/>
        <v>1</v>
      </c>
    </row>
    <row r="22" spans="8:17" x14ac:dyDescent="0.3">
      <c r="H22" s="4"/>
      <c r="K22">
        <v>11</v>
      </c>
      <c r="L22" s="6">
        <f t="shared" si="0"/>
        <v>2227.9125817055137</v>
      </c>
      <c r="N22">
        <f t="shared" si="1"/>
        <v>495</v>
      </c>
      <c r="O22">
        <f t="shared" si="2"/>
        <v>4.5008334983949769</v>
      </c>
      <c r="Q22">
        <f t="shared" si="3"/>
        <v>1.1000000000000001</v>
      </c>
    </row>
    <row r="23" spans="8:17" x14ac:dyDescent="0.3">
      <c r="H23" s="4"/>
      <c r="K23">
        <v>12</v>
      </c>
      <c r="L23" s="6">
        <f t="shared" si="0"/>
        <v>2718.053349680727</v>
      </c>
      <c r="N23">
        <f t="shared" si="1"/>
        <v>540</v>
      </c>
      <c r="O23">
        <f t="shared" si="2"/>
        <v>5.033432129038383</v>
      </c>
      <c r="Q23">
        <f t="shared" si="3"/>
        <v>1.2000000000000002</v>
      </c>
    </row>
    <row r="24" spans="8:17" x14ac:dyDescent="0.3">
      <c r="H24" s="4"/>
      <c r="K24">
        <v>13</v>
      </c>
      <c r="L24" s="6">
        <f t="shared" si="0"/>
        <v>3316.0250866104866</v>
      </c>
      <c r="N24">
        <f t="shared" si="1"/>
        <v>585</v>
      </c>
      <c r="O24">
        <f t="shared" si="2"/>
        <v>5.6684189514709171</v>
      </c>
      <c r="Q24">
        <f t="shared" si="3"/>
        <v>1.3</v>
      </c>
    </row>
    <row r="25" spans="8:17" x14ac:dyDescent="0.3">
      <c r="H25" s="4"/>
      <c r="K25">
        <v>14</v>
      </c>
      <c r="L25" s="6">
        <f t="shared" si="0"/>
        <v>4045.5506056647932</v>
      </c>
      <c r="N25">
        <f t="shared" si="1"/>
        <v>630</v>
      </c>
      <c r="O25">
        <f t="shared" si="2"/>
        <v>6.4215088978806243</v>
      </c>
      <c r="Q25">
        <f t="shared" si="3"/>
        <v>1.4000000000000001</v>
      </c>
    </row>
    <row r="26" spans="8:17" x14ac:dyDescent="0.3">
      <c r="H26" s="4"/>
      <c r="K26">
        <v>15</v>
      </c>
      <c r="L26" s="6">
        <f t="shared" si="0"/>
        <v>4935.5717389110487</v>
      </c>
      <c r="N26">
        <f t="shared" si="1"/>
        <v>675</v>
      </c>
      <c r="O26">
        <f t="shared" si="2"/>
        <v>7.3119581317200719</v>
      </c>
      <c r="Q26">
        <f t="shared" si="3"/>
        <v>1.5</v>
      </c>
    </row>
    <row r="27" spans="8:17" x14ac:dyDescent="0.3">
      <c r="H27" s="4"/>
      <c r="K27">
        <v>16</v>
      </c>
      <c r="L27" s="6">
        <f t="shared" si="0"/>
        <v>6021.3975214714783</v>
      </c>
      <c r="N27">
        <f t="shared" si="1"/>
        <v>720</v>
      </c>
      <c r="O27">
        <f t="shared" si="2"/>
        <v>8.363052113154831</v>
      </c>
      <c r="Q27">
        <f t="shared" si="3"/>
        <v>1.6</v>
      </c>
    </row>
    <row r="28" spans="8:17" x14ac:dyDescent="0.3">
      <c r="H28" s="4"/>
      <c r="K28">
        <v>17</v>
      </c>
      <c r="L28" s="6">
        <f t="shared" si="0"/>
        <v>7346.1049761952027</v>
      </c>
      <c r="N28">
        <f t="shared" si="1"/>
        <v>765</v>
      </c>
      <c r="O28">
        <f t="shared" si="2"/>
        <v>9.6027516028695459</v>
      </c>
      <c r="Q28">
        <f t="shared" si="3"/>
        <v>1.7000000000000002</v>
      </c>
    </row>
    <row r="29" spans="8:17" x14ac:dyDescent="0.3">
      <c r="H29" s="4"/>
      <c r="K29">
        <v>18</v>
      </c>
      <c r="L29" s="6">
        <f t="shared" si="0"/>
        <v>8962.2480709581469</v>
      </c>
      <c r="N29">
        <f t="shared" si="1"/>
        <v>810</v>
      </c>
      <c r="O29">
        <f t="shared" si="2"/>
        <v>11.064503791306354</v>
      </c>
      <c r="Q29">
        <f t="shared" si="3"/>
        <v>1.8</v>
      </c>
    </row>
    <row r="30" spans="8:17" x14ac:dyDescent="0.3">
      <c r="H30" s="4"/>
      <c r="K30">
        <v>19</v>
      </c>
      <c r="L30" s="6">
        <f t="shared" si="0"/>
        <v>10933.942646568939</v>
      </c>
      <c r="N30">
        <f t="shared" si="1"/>
        <v>855</v>
      </c>
      <c r="O30">
        <f t="shared" si="2"/>
        <v>12.788237013530923</v>
      </c>
      <c r="Q30">
        <f t="shared" si="3"/>
        <v>1.9000000000000001</v>
      </c>
    </row>
    <row r="31" spans="8:17" x14ac:dyDescent="0.3">
      <c r="H31" s="4"/>
      <c r="K31">
        <v>20</v>
      </c>
      <c r="L31" s="6">
        <f t="shared" si="0"/>
        <v>13339.410028814103</v>
      </c>
      <c r="N31">
        <f t="shared" si="1"/>
        <v>900</v>
      </c>
      <c r="O31">
        <f t="shared" si="2"/>
        <v>14.821566698682338</v>
      </c>
      <c r="Q31">
        <f t="shared" si="3"/>
        <v>2</v>
      </c>
    </row>
    <row r="32" spans="8:17" x14ac:dyDescent="0.3">
      <c r="H32" s="4"/>
      <c r="K32">
        <v>21</v>
      </c>
      <c r="L32" s="6">
        <f t="shared" si="0"/>
        <v>16274.080235153207</v>
      </c>
      <c r="N32">
        <f t="shared" si="1"/>
        <v>945</v>
      </c>
      <c r="O32">
        <f t="shared" si="2"/>
        <v>17.221248926088052</v>
      </c>
      <c r="Q32">
        <f t="shared" si="3"/>
        <v>2.1</v>
      </c>
    </row>
    <row r="33" spans="8:17" x14ac:dyDescent="0.3">
      <c r="H33" s="4"/>
      <c r="K33">
        <v>22</v>
      </c>
      <c r="L33" s="6">
        <f t="shared" si="0"/>
        <v>19854.377886886912</v>
      </c>
      <c r="N33">
        <f t="shared" si="1"/>
        <v>990</v>
      </c>
      <c r="O33">
        <f t="shared" si="2"/>
        <v>20.054927158471628</v>
      </c>
      <c r="Q33">
        <f t="shared" si="3"/>
        <v>2.2000000000000002</v>
      </c>
    </row>
    <row r="34" spans="8:17" x14ac:dyDescent="0.3">
      <c r="H34" s="4"/>
      <c r="K34">
        <v>23</v>
      </c>
      <c r="L34" s="6">
        <f t="shared" si="0"/>
        <v>24222.341022002034</v>
      </c>
      <c r="N34">
        <f t="shared" si="1"/>
        <v>1035</v>
      </c>
      <c r="O34">
        <f t="shared" si="2"/>
        <v>23.403228040581677</v>
      </c>
      <c r="Q34">
        <f t="shared" si="3"/>
        <v>2.3000000000000003</v>
      </c>
    </row>
    <row r="35" spans="8:17" x14ac:dyDescent="0.3">
      <c r="K35">
        <v>24</v>
      </c>
      <c r="L35" s="6">
        <f t="shared" si="0"/>
        <v>29551.256046842474</v>
      </c>
      <c r="N35">
        <f t="shared" si="1"/>
        <v>1080</v>
      </c>
      <c r="O35">
        <f t="shared" si="2"/>
        <v>27.362274117446734</v>
      </c>
      <c r="Q35">
        <f t="shared" si="3"/>
        <v>2.4000000000000004</v>
      </c>
    </row>
    <row r="36" spans="8:17" x14ac:dyDescent="0.3">
      <c r="K36">
        <v>25</v>
      </c>
      <c r="L36" s="6">
        <f t="shared" si="0"/>
        <v>36052.532377147822</v>
      </c>
      <c r="N36">
        <f t="shared" si="1"/>
        <v>1125</v>
      </c>
      <c r="O36">
        <f t="shared" si="2"/>
        <v>32.046695446353617</v>
      </c>
      <c r="Q36">
        <f t="shared" si="3"/>
        <v>2.5</v>
      </c>
    </row>
    <row r="37" spans="8:17" x14ac:dyDescent="0.3">
      <c r="K37">
        <v>26</v>
      </c>
      <c r="L37" s="6">
        <f t="shared" si="0"/>
        <v>43984.089500120339</v>
      </c>
      <c r="N37">
        <f t="shared" si="1"/>
        <v>1170</v>
      </c>
      <c r="O37">
        <f t="shared" si="2"/>
        <v>37.593238888991742</v>
      </c>
      <c r="Q37">
        <f t="shared" si="3"/>
        <v>2.6</v>
      </c>
    </row>
    <row r="38" spans="8:17" x14ac:dyDescent="0.3">
      <c r="K38">
        <v>27</v>
      </c>
      <c r="L38" s="6">
        <f t="shared" si="0"/>
        <v>53660.589190146806</v>
      </c>
      <c r="N38">
        <f t="shared" si="1"/>
        <v>1215</v>
      </c>
      <c r="O38">
        <f t="shared" si="2"/>
        <v>44.165093983659922</v>
      </c>
      <c r="Q38">
        <f t="shared" si="3"/>
        <v>2.7</v>
      </c>
    </row>
    <row r="39" spans="8:17" x14ac:dyDescent="0.3">
      <c r="K39">
        <v>28</v>
      </c>
      <c r="L39" s="6">
        <f t="shared" si="0"/>
        <v>65465.918811979107</v>
      </c>
      <c r="N39">
        <f t="shared" si="1"/>
        <v>1260</v>
      </c>
      <c r="O39">
        <f t="shared" si="2"/>
        <v>51.95707842220564</v>
      </c>
      <c r="Q39">
        <f t="shared" si="3"/>
        <v>2.8000000000000003</v>
      </c>
    </row>
    <row r="40" spans="8:17" x14ac:dyDescent="0.3">
      <c r="K40">
        <v>29</v>
      </c>
      <c r="L40" s="6">
        <f t="shared" si="0"/>
        <v>79868.420950614513</v>
      </c>
      <c r="N40">
        <f t="shared" si="1"/>
        <v>1305</v>
      </c>
      <c r="O40">
        <f t="shared" si="2"/>
        <v>61.201855134570508</v>
      </c>
      <c r="Q40">
        <f t="shared" si="3"/>
        <v>2.9000000000000004</v>
      </c>
    </row>
    <row r="41" spans="8:17" x14ac:dyDescent="0.3">
      <c r="K41">
        <v>30</v>
      </c>
      <c r="L41" s="6">
        <f t="shared" si="0"/>
        <v>97439.473559749691</v>
      </c>
      <c r="N41">
        <f t="shared" si="1"/>
        <v>1350</v>
      </c>
      <c r="O41">
        <f t="shared" si="2"/>
        <v>72.177387822036806</v>
      </c>
      <c r="Q41">
        <f t="shared" si="3"/>
        <v>3</v>
      </c>
    </row>
    <row r="42" spans="8:17" x14ac:dyDescent="0.3">
      <c r="K42">
        <v>31</v>
      </c>
      <c r="L42" s="6">
        <f t="shared" si="0"/>
        <v>118876.15774289463</v>
      </c>
      <c r="N42">
        <f t="shared" si="1"/>
        <v>1395</v>
      </c>
      <c r="O42">
        <f t="shared" si="2"/>
        <v>85.215883686662821</v>
      </c>
      <c r="Q42">
        <f t="shared" si="3"/>
        <v>3.1</v>
      </c>
    </row>
    <row r="43" spans="8:17" x14ac:dyDescent="0.3">
      <c r="K43">
        <v>32</v>
      </c>
      <c r="L43" s="6">
        <f t="shared" si="0"/>
        <v>145028.91244633141</v>
      </c>
      <c r="N43">
        <f t="shared" si="1"/>
        <v>1440</v>
      </c>
      <c r="O43">
        <f t="shared" si="2"/>
        <v>100.71452253217458</v>
      </c>
      <c r="Q43">
        <f t="shared" si="3"/>
        <v>3.2</v>
      </c>
    </row>
    <row r="44" spans="8:17" x14ac:dyDescent="0.3">
      <c r="K44">
        <v>33</v>
      </c>
      <c r="L44" s="6">
        <f t="shared" si="0"/>
        <v>176935.27318452433</v>
      </c>
      <c r="N44">
        <f t="shared" si="1"/>
        <v>1485</v>
      </c>
      <c r="O44">
        <f t="shared" si="2"/>
        <v>119.14833211079079</v>
      </c>
      <c r="Q44">
        <f t="shared" si="3"/>
        <v>3.3000000000000003</v>
      </c>
    </row>
    <row r="45" spans="8:17" x14ac:dyDescent="0.3">
      <c r="K45">
        <v>34</v>
      </c>
      <c r="L45" s="6">
        <f t="shared" si="0"/>
        <v>215861.03328511969</v>
      </c>
      <c r="N45">
        <f t="shared" si="1"/>
        <v>1530</v>
      </c>
      <c r="O45">
        <f t="shared" si="2"/>
        <v>141.08564267001287</v>
      </c>
      <c r="Q45">
        <f t="shared" si="3"/>
        <v>3.4000000000000004</v>
      </c>
    </row>
    <row r="46" spans="8:17" x14ac:dyDescent="0.3">
      <c r="K46">
        <v>35</v>
      </c>
      <c r="L46" s="6">
        <f t="shared" si="0"/>
        <v>263350.46060784598</v>
      </c>
      <c r="N46">
        <f t="shared" si="1"/>
        <v>1575</v>
      </c>
      <c r="O46">
        <f t="shared" si="2"/>
        <v>167.20664165577523</v>
      </c>
      <c r="Q46">
        <f t="shared" si="3"/>
        <v>3.5</v>
      </c>
    </row>
    <row r="47" spans="8:17" x14ac:dyDescent="0.3">
      <c r="K47">
        <v>36</v>
      </c>
      <c r="L47" s="6">
        <f t="shared" si="0"/>
        <v>321287.56194157212</v>
      </c>
      <c r="N47">
        <f t="shared" si="1"/>
        <v>1620</v>
      </c>
      <c r="O47">
        <f t="shared" si="2"/>
        <v>198.32565551948895</v>
      </c>
      <c r="Q47">
        <f t="shared" si="3"/>
        <v>3.6</v>
      </c>
    </row>
    <row r="48" spans="8:17" x14ac:dyDescent="0.3">
      <c r="K48">
        <v>37</v>
      </c>
      <c r="L48" s="6">
        <f t="shared" si="0"/>
        <v>391970.82556871796</v>
      </c>
      <c r="N48">
        <f t="shared" si="1"/>
        <v>1665</v>
      </c>
      <c r="O48">
        <f t="shared" si="2"/>
        <v>235.41791325448526</v>
      </c>
      <c r="Q48">
        <f t="shared" si="3"/>
        <v>3.7</v>
      </c>
    </row>
    <row r="49" spans="11:17" x14ac:dyDescent="0.3">
      <c r="K49">
        <v>38</v>
      </c>
      <c r="L49" s="6">
        <f t="shared" si="0"/>
        <v>478204.40719383582</v>
      </c>
      <c r="N49">
        <f t="shared" si="1"/>
        <v>1710</v>
      </c>
      <c r="O49">
        <f t="shared" si="2"/>
        <v>279.65170011335431</v>
      </c>
      <c r="Q49">
        <f t="shared" si="3"/>
        <v>3.8000000000000003</v>
      </c>
    </row>
    <row r="50" spans="11:17" x14ac:dyDescent="0.3">
      <c r="K50">
        <v>39</v>
      </c>
      <c r="L50" s="6">
        <f t="shared" si="0"/>
        <v>583409.37677647977</v>
      </c>
      <c r="N50">
        <f t="shared" si="1"/>
        <v>1755</v>
      </c>
      <c r="O50">
        <f t="shared" si="2"/>
        <v>332.42699531423347</v>
      </c>
      <c r="Q50">
        <f t="shared" si="3"/>
        <v>3.9000000000000004</v>
      </c>
    </row>
    <row r="51" spans="11:17" x14ac:dyDescent="0.3">
      <c r="K51">
        <v>40</v>
      </c>
      <c r="L51" s="6">
        <f t="shared" si="0"/>
        <v>711759.43966730521</v>
      </c>
      <c r="N51">
        <f t="shared" si="1"/>
        <v>1800</v>
      </c>
      <c r="O51">
        <f t="shared" si="2"/>
        <v>395.42191092628065</v>
      </c>
      <c r="Q51">
        <f t="shared" si="3"/>
        <v>4</v>
      </c>
    </row>
    <row r="52" spans="11:17" x14ac:dyDescent="0.3">
      <c r="K52">
        <v>41</v>
      </c>
      <c r="L52" s="6">
        <f t="shared" si="0"/>
        <v>868346.51639411226</v>
      </c>
      <c r="N52">
        <f t="shared" si="1"/>
        <v>1845</v>
      </c>
      <c r="O52">
        <f t="shared" si="2"/>
        <v>470.64851837079254</v>
      </c>
      <c r="Q52">
        <f t="shared" si="3"/>
        <v>4.1000000000000005</v>
      </c>
    </row>
    <row r="53" spans="11:17" x14ac:dyDescent="0.3">
      <c r="K53">
        <v>42</v>
      </c>
      <c r="L53" s="6">
        <f t="shared" si="0"/>
        <v>1059382.750000817</v>
      </c>
      <c r="N53">
        <f t="shared" si="1"/>
        <v>1890</v>
      </c>
      <c r="O53">
        <f t="shared" si="2"/>
        <v>560.51997354540583</v>
      </c>
      <c r="Q53">
        <f t="shared" si="3"/>
        <v>4.2</v>
      </c>
    </row>
    <row r="54" spans="11:17" x14ac:dyDescent="0.3">
      <c r="K54">
        <v>43</v>
      </c>
      <c r="L54" s="6">
        <f t="shared" si="0"/>
        <v>1292446.9550009966</v>
      </c>
      <c r="N54">
        <f t="shared" si="1"/>
        <v>1935</v>
      </c>
      <c r="O54">
        <f t="shared" si="2"/>
        <v>667.93124289457194</v>
      </c>
      <c r="Q54">
        <f t="shared" si="3"/>
        <v>4.3</v>
      </c>
    </row>
    <row r="55" spans="11:17" x14ac:dyDescent="0.3">
      <c r="K55">
        <v>44</v>
      </c>
      <c r="L55" s="6">
        <f t="shared" si="0"/>
        <v>1576785.2851012158</v>
      </c>
      <c r="N55">
        <f t="shared" si="1"/>
        <v>1980</v>
      </c>
      <c r="O55">
        <f t="shared" si="2"/>
        <v>796.35620459657366</v>
      </c>
      <c r="Q55">
        <f t="shared" si="3"/>
        <v>4.4000000000000004</v>
      </c>
    </row>
    <row r="56" spans="11:17" x14ac:dyDescent="0.3">
      <c r="K56">
        <v>45</v>
      </c>
      <c r="L56" s="6">
        <f t="shared" si="0"/>
        <v>1923678.0478234831</v>
      </c>
      <c r="N56">
        <f t="shared" si="1"/>
        <v>2025</v>
      </c>
      <c r="O56">
        <f t="shared" si="2"/>
        <v>949.96446806097936</v>
      </c>
      <c r="Q56">
        <f t="shared" si="3"/>
        <v>4.5</v>
      </c>
    </row>
    <row r="57" spans="11:17" x14ac:dyDescent="0.3">
      <c r="K57">
        <v>46</v>
      </c>
      <c r="L57" s="6">
        <f t="shared" si="0"/>
        <v>2346887.2183446493</v>
      </c>
      <c r="N57">
        <f t="shared" si="1"/>
        <v>2070</v>
      </c>
      <c r="O57">
        <f t="shared" si="2"/>
        <v>1133.7619412292993</v>
      </c>
      <c r="Q57">
        <f t="shared" si="3"/>
        <v>4.6000000000000005</v>
      </c>
    </row>
    <row r="58" spans="11:17" x14ac:dyDescent="0.3">
      <c r="K58">
        <v>47</v>
      </c>
      <c r="L58" s="6">
        <f t="shared" si="0"/>
        <v>2863202.4063804722</v>
      </c>
      <c r="N58">
        <f t="shared" si="1"/>
        <v>2115</v>
      </c>
      <c r="O58">
        <f t="shared" si="2"/>
        <v>1353.7600030167716</v>
      </c>
      <c r="Q58">
        <f t="shared" si="3"/>
        <v>4.7</v>
      </c>
    </row>
    <row r="59" spans="11:17" x14ac:dyDescent="0.3">
      <c r="K59">
        <v>48</v>
      </c>
      <c r="L59" s="6">
        <f t="shared" si="0"/>
        <v>3493106.9357841755</v>
      </c>
      <c r="N59">
        <f t="shared" si="1"/>
        <v>2160</v>
      </c>
      <c r="O59">
        <f t="shared" si="2"/>
        <v>1617.1791369371183</v>
      </c>
      <c r="Q59">
        <f t="shared" si="3"/>
        <v>4.8000000000000007</v>
      </c>
    </row>
    <row r="60" spans="11:17" x14ac:dyDescent="0.3">
      <c r="K60">
        <v>49</v>
      </c>
      <c r="L60" s="6">
        <f t="shared" si="0"/>
        <v>4261590.4616566943</v>
      </c>
      <c r="N60">
        <f t="shared" si="1"/>
        <v>2205</v>
      </c>
      <c r="O60">
        <f t="shared" si="2"/>
        <v>1932.6940869191358</v>
      </c>
      <c r="Q60">
        <f t="shared" si="3"/>
        <v>4.9000000000000004</v>
      </c>
    </row>
    <row r="61" spans="11:17" x14ac:dyDescent="0.3">
      <c r="K61">
        <v>50</v>
      </c>
      <c r="L61" s="6">
        <f t="shared" si="0"/>
        <v>5199140.3632211667</v>
      </c>
      <c r="N61">
        <f t="shared" si="1"/>
        <v>2250</v>
      </c>
      <c r="O61">
        <f t="shared" si="2"/>
        <v>2310.7290503205186</v>
      </c>
      <c r="Q61">
        <f t="shared" si="3"/>
        <v>5</v>
      </c>
    </row>
    <row r="62" spans="11:17" x14ac:dyDescent="0.3">
      <c r="K62">
        <v>51</v>
      </c>
      <c r="L62" s="6">
        <f t="shared" si="0"/>
        <v>6342951.2431298234</v>
      </c>
      <c r="N62">
        <f t="shared" si="1"/>
        <v>2295</v>
      </c>
      <c r="O62">
        <f t="shared" si="2"/>
        <v>2763.8131778343459</v>
      </c>
      <c r="Q62">
        <f t="shared" si="3"/>
        <v>5.1000000000000005</v>
      </c>
    </row>
    <row r="63" spans="11:17" x14ac:dyDescent="0.3">
      <c r="K63">
        <v>52</v>
      </c>
      <c r="L63" s="6">
        <f t="shared" si="0"/>
        <v>7738400.5166183831</v>
      </c>
      <c r="N63">
        <f t="shared" si="1"/>
        <v>2340</v>
      </c>
      <c r="O63">
        <f t="shared" si="2"/>
        <v>3307.0087677856336</v>
      </c>
      <c r="Q63">
        <f t="shared" si="3"/>
        <v>5.2</v>
      </c>
    </row>
    <row r="64" spans="11:17" x14ac:dyDescent="0.3">
      <c r="K64">
        <v>53</v>
      </c>
      <c r="L64" s="6">
        <f t="shared" si="0"/>
        <v>9440848.6302744281</v>
      </c>
      <c r="N64">
        <f t="shared" si="1"/>
        <v>2385</v>
      </c>
      <c r="O64">
        <f t="shared" si="2"/>
        <v>3958.427098647559</v>
      </c>
      <c r="Q64">
        <f t="shared" si="3"/>
        <v>5.3000000000000007</v>
      </c>
    </row>
    <row r="65" spans="11:17" x14ac:dyDescent="0.3">
      <c r="K65">
        <v>54</v>
      </c>
      <c r="L65" s="6">
        <f t="shared" si="0"/>
        <v>11517835.328934802</v>
      </c>
      <c r="N65">
        <f t="shared" si="1"/>
        <v>2430</v>
      </c>
      <c r="O65">
        <f t="shared" si="2"/>
        <v>4739.8499296027994</v>
      </c>
      <c r="Q65">
        <f t="shared" si="3"/>
        <v>5.4</v>
      </c>
    </row>
    <row r="66" spans="11:17" x14ac:dyDescent="0.3">
      <c r="K66">
        <v>55</v>
      </c>
      <c r="L66" s="6">
        <f t="shared" si="0"/>
        <v>14051759.101300461</v>
      </c>
      <c r="N66">
        <f t="shared" si="1"/>
        <v>2475</v>
      </c>
      <c r="O66">
        <f t="shared" si="2"/>
        <v>5677.4784247678635</v>
      </c>
      <c r="Q66">
        <f t="shared" si="3"/>
        <v>5.5</v>
      </c>
    </row>
    <row r="67" spans="11:17" x14ac:dyDescent="0.3">
      <c r="K67">
        <v>56</v>
      </c>
      <c r="L67" s="6">
        <f t="shared" si="0"/>
        <v>17143146.103586558</v>
      </c>
      <c r="N67">
        <f t="shared" si="1"/>
        <v>2520</v>
      </c>
      <c r="O67">
        <f t="shared" si="2"/>
        <v>6802.8357553914911</v>
      </c>
      <c r="Q67">
        <f t="shared" si="3"/>
        <v>5.6000000000000005</v>
      </c>
    </row>
    <row r="68" spans="11:17" x14ac:dyDescent="0.3">
      <c r="K68">
        <v>57</v>
      </c>
      <c r="L68" s="6">
        <f t="shared" si="0"/>
        <v>20914638.246375598</v>
      </c>
      <c r="N68">
        <f t="shared" si="1"/>
        <v>2565</v>
      </c>
      <c r="O68">
        <f t="shared" si="2"/>
        <v>8153.8550668130983</v>
      </c>
      <c r="Q68">
        <f t="shared" si="3"/>
        <v>5.7</v>
      </c>
    </row>
    <row r="69" spans="11:17" x14ac:dyDescent="0.3">
      <c r="K69">
        <v>58</v>
      </c>
      <c r="L69" s="6">
        <f t="shared" si="0"/>
        <v>25515858.660578232</v>
      </c>
      <c r="N69">
        <f t="shared" si="1"/>
        <v>2610</v>
      </c>
      <c r="O69">
        <f t="shared" si="2"/>
        <v>9776.1910576928094</v>
      </c>
      <c r="Q69">
        <f t="shared" si="3"/>
        <v>5.8000000000000007</v>
      </c>
    </row>
    <row r="70" spans="11:17" x14ac:dyDescent="0.3">
      <c r="K70">
        <v>59</v>
      </c>
      <c r="L70" s="6">
        <f t="shared" si="0"/>
        <v>31129347.565905437</v>
      </c>
      <c r="N70">
        <f t="shared" si="1"/>
        <v>2655</v>
      </c>
      <c r="O70">
        <f t="shared" si="2"/>
        <v>11724.801343090559</v>
      </c>
      <c r="Q70">
        <f t="shared" si="3"/>
        <v>5.9</v>
      </c>
    </row>
    <row r="71" spans="11:17" x14ac:dyDescent="0.3">
      <c r="K71">
        <v>60</v>
      </c>
      <c r="L71" s="6">
        <f t="shared" si="0"/>
        <v>37977804.030404635</v>
      </c>
      <c r="N71">
        <f t="shared" si="1"/>
        <v>2700</v>
      </c>
      <c r="O71">
        <f t="shared" si="2"/>
        <v>14065.853344594309</v>
      </c>
      <c r="Q71">
        <f t="shared" si="3"/>
        <v>6</v>
      </c>
    </row>
    <row r="72" spans="11:17" x14ac:dyDescent="0.3">
      <c r="K72">
        <v>61</v>
      </c>
      <c r="L72" s="6">
        <f t="shared" si="0"/>
        <v>46332920.91709365</v>
      </c>
      <c r="N72">
        <f t="shared" si="1"/>
        <v>2745</v>
      </c>
      <c r="O72">
        <f t="shared" si="2"/>
        <v>16879.024013513168</v>
      </c>
      <c r="Q72">
        <f t="shared" si="3"/>
        <v>6.1000000000000005</v>
      </c>
    </row>
    <row r="73" spans="11:17" x14ac:dyDescent="0.3">
      <c r="K73">
        <v>62</v>
      </c>
      <c r="L73" s="6">
        <f t="shared" si="0"/>
        <v>56526163.518854253</v>
      </c>
      <c r="N73">
        <f t="shared" si="1"/>
        <v>2790</v>
      </c>
      <c r="O73">
        <f t="shared" si="2"/>
        <v>20260.273662671774</v>
      </c>
      <c r="Q73">
        <f t="shared" si="3"/>
        <v>6.2</v>
      </c>
    </row>
    <row r="74" spans="11:17" x14ac:dyDescent="0.3">
      <c r="K74">
        <v>63</v>
      </c>
      <c r="L74" s="6">
        <f t="shared" si="0"/>
        <v>68961919.493002191</v>
      </c>
      <c r="N74">
        <f t="shared" si="1"/>
        <v>2835</v>
      </c>
      <c r="O74">
        <f t="shared" si="2"/>
        <v>24325.192061023699</v>
      </c>
      <c r="Q74">
        <f t="shared" si="3"/>
        <v>6.3000000000000007</v>
      </c>
    </row>
    <row r="75" spans="11:17" x14ac:dyDescent="0.3">
      <c r="K75">
        <v>64</v>
      </c>
      <c r="L75" s="6">
        <f t="shared" ref="L75:L138" si="4">$I$6*($I$7^K75)</f>
        <v>84133541.781462654</v>
      </c>
      <c r="N75">
        <f t="shared" ref="N75:N138" si="5">K75*$I$8*$B$4</f>
        <v>2880</v>
      </c>
      <c r="O75">
        <f t="shared" ref="O75:O138" si="6">L75/N75</f>
        <v>29213.035340785646</v>
      </c>
      <c r="Q75">
        <f t="shared" ref="Q75:Q138" si="7">K75*$I$11*$B$5</f>
        <v>6.4</v>
      </c>
    </row>
    <row r="76" spans="11:17" x14ac:dyDescent="0.3">
      <c r="K76">
        <v>65</v>
      </c>
      <c r="L76" s="6">
        <f t="shared" si="4"/>
        <v>102642920.97338444</v>
      </c>
      <c r="N76">
        <f t="shared" si="5"/>
        <v>2925</v>
      </c>
      <c r="O76">
        <f t="shared" si="6"/>
        <v>35091.596913977584</v>
      </c>
      <c r="Q76">
        <f t="shared" si="7"/>
        <v>6.5</v>
      </c>
    </row>
    <row r="77" spans="11:17" x14ac:dyDescent="0.3">
      <c r="K77">
        <v>66</v>
      </c>
      <c r="L77" s="6">
        <f t="shared" si="4"/>
        <v>125224363.58752902</v>
      </c>
      <c r="N77">
        <f t="shared" si="5"/>
        <v>2970</v>
      </c>
      <c r="O77">
        <f t="shared" si="6"/>
        <v>42163.085383006401</v>
      </c>
      <c r="Q77">
        <f t="shared" si="7"/>
        <v>6.6000000000000005</v>
      </c>
    </row>
    <row r="78" spans="11:17" x14ac:dyDescent="0.3">
      <c r="K78">
        <v>67</v>
      </c>
      <c r="L78" s="6">
        <f t="shared" si="4"/>
        <v>152773723.57678539</v>
      </c>
      <c r="N78">
        <f t="shared" si="5"/>
        <v>3015</v>
      </c>
      <c r="O78">
        <f t="shared" si="6"/>
        <v>50671.218433427988</v>
      </c>
      <c r="Q78">
        <f t="shared" si="7"/>
        <v>6.7</v>
      </c>
    </row>
    <row r="79" spans="11:17" x14ac:dyDescent="0.3">
      <c r="K79">
        <v>68</v>
      </c>
      <c r="L79" s="6">
        <f t="shared" si="4"/>
        <v>186383942.76367813</v>
      </c>
      <c r="N79">
        <f t="shared" si="5"/>
        <v>3060</v>
      </c>
      <c r="O79">
        <f t="shared" si="6"/>
        <v>60909.785216888282</v>
      </c>
      <c r="Q79">
        <f t="shared" si="7"/>
        <v>6.8000000000000007</v>
      </c>
    </row>
    <row r="80" spans="11:17" x14ac:dyDescent="0.3">
      <c r="K80">
        <v>69</v>
      </c>
      <c r="L80" s="6">
        <f t="shared" si="4"/>
        <v>227388410.17168736</v>
      </c>
      <c r="N80">
        <f t="shared" si="5"/>
        <v>3105</v>
      </c>
      <c r="O80">
        <f t="shared" si="6"/>
        <v>73232.982341928291</v>
      </c>
      <c r="Q80">
        <f t="shared" si="7"/>
        <v>6.9</v>
      </c>
    </row>
    <row r="81" spans="11:17" x14ac:dyDescent="0.3">
      <c r="K81">
        <v>70</v>
      </c>
      <c r="L81" s="6">
        <f t="shared" si="4"/>
        <v>277413860.40945858</v>
      </c>
      <c r="N81">
        <f t="shared" si="5"/>
        <v>3150</v>
      </c>
      <c r="O81">
        <f t="shared" si="6"/>
        <v>88067.89219347891</v>
      </c>
      <c r="Q81">
        <f t="shared" si="7"/>
        <v>7</v>
      </c>
    </row>
    <row r="82" spans="11:17" x14ac:dyDescent="0.3">
      <c r="K82">
        <v>71</v>
      </c>
      <c r="L82" s="6">
        <f t="shared" si="4"/>
        <v>338444909.69953942</v>
      </c>
      <c r="N82">
        <f t="shared" si="5"/>
        <v>3195</v>
      </c>
      <c r="O82">
        <f t="shared" si="6"/>
        <v>105929.54920173378</v>
      </c>
      <c r="Q82">
        <f t="shared" si="7"/>
        <v>7.1000000000000005</v>
      </c>
    </row>
    <row r="83" spans="11:17" x14ac:dyDescent="0.3">
      <c r="K83">
        <v>72</v>
      </c>
      <c r="L83" s="6">
        <f t="shared" si="4"/>
        <v>412902789.83343804</v>
      </c>
      <c r="N83">
        <f t="shared" si="5"/>
        <v>3240</v>
      </c>
      <c r="O83">
        <f t="shared" si="6"/>
        <v>127439.13266464137</v>
      </c>
      <c r="Q83">
        <f t="shared" si="7"/>
        <v>7.2</v>
      </c>
    </row>
    <row r="84" spans="11:17" x14ac:dyDescent="0.3">
      <c r="K84">
        <v>73</v>
      </c>
      <c r="L84" s="6">
        <f t="shared" si="4"/>
        <v>503741403.59679449</v>
      </c>
      <c r="N84">
        <f t="shared" si="5"/>
        <v>3285</v>
      </c>
      <c r="O84">
        <f t="shared" si="6"/>
        <v>153345.93716797396</v>
      </c>
      <c r="Q84">
        <f t="shared" si="7"/>
        <v>7.3000000000000007</v>
      </c>
    </row>
    <row r="85" spans="11:17" x14ac:dyDescent="0.3">
      <c r="K85">
        <v>74</v>
      </c>
      <c r="L85" s="6">
        <f t="shared" si="4"/>
        <v>614564512.38808918</v>
      </c>
      <c r="N85">
        <f t="shared" si="5"/>
        <v>3330</v>
      </c>
      <c r="O85">
        <f t="shared" si="6"/>
        <v>184553.9076240508</v>
      </c>
      <c r="Q85">
        <f t="shared" si="7"/>
        <v>7.4</v>
      </c>
    </row>
    <row r="86" spans="11:17" x14ac:dyDescent="0.3">
      <c r="K86">
        <v>75</v>
      </c>
      <c r="L86" s="6">
        <f t="shared" si="4"/>
        <v>749768705.11346865</v>
      </c>
      <c r="N86">
        <f t="shared" si="5"/>
        <v>3375</v>
      </c>
      <c r="O86">
        <f t="shared" si="6"/>
        <v>222153.69040399071</v>
      </c>
      <c r="Q86">
        <f t="shared" si="7"/>
        <v>7.5</v>
      </c>
    </row>
    <row r="87" spans="11:17" x14ac:dyDescent="0.3">
      <c r="K87">
        <v>76</v>
      </c>
      <c r="L87" s="6">
        <f t="shared" si="4"/>
        <v>914717820.23843181</v>
      </c>
      <c r="N87">
        <f t="shared" si="5"/>
        <v>3420</v>
      </c>
      <c r="O87">
        <f t="shared" si="6"/>
        <v>267461.35094690986</v>
      </c>
      <c r="Q87">
        <f t="shared" si="7"/>
        <v>7.6000000000000005</v>
      </c>
    </row>
    <row r="88" spans="11:17" x14ac:dyDescent="0.3">
      <c r="K88">
        <v>77</v>
      </c>
      <c r="L88" s="6">
        <f t="shared" si="4"/>
        <v>1115955740.6908867</v>
      </c>
      <c r="N88">
        <f t="shared" si="5"/>
        <v>3465</v>
      </c>
      <c r="O88">
        <f t="shared" si="6"/>
        <v>322065.14882853872</v>
      </c>
      <c r="Q88">
        <f t="shared" si="7"/>
        <v>7.7</v>
      </c>
    </row>
    <row r="89" spans="11:17" x14ac:dyDescent="0.3">
      <c r="K89">
        <v>78</v>
      </c>
      <c r="L89" s="6">
        <f t="shared" si="4"/>
        <v>1361466003.6428819</v>
      </c>
      <c r="N89">
        <f t="shared" si="5"/>
        <v>3510</v>
      </c>
      <c r="O89">
        <f t="shared" si="6"/>
        <v>387882.05231990939</v>
      </c>
      <c r="Q89">
        <f t="shared" si="7"/>
        <v>7.8000000000000007</v>
      </c>
    </row>
    <row r="90" spans="11:17" x14ac:dyDescent="0.3">
      <c r="K90">
        <v>79</v>
      </c>
      <c r="L90" s="6">
        <f t="shared" si="4"/>
        <v>1660988524.4443159</v>
      </c>
      <c r="N90">
        <f t="shared" si="5"/>
        <v>3555</v>
      </c>
      <c r="O90">
        <f t="shared" si="6"/>
        <v>467226.02656661486</v>
      </c>
      <c r="Q90">
        <f t="shared" si="7"/>
        <v>7.9</v>
      </c>
    </row>
    <row r="91" spans="11:17" x14ac:dyDescent="0.3">
      <c r="K91">
        <v>80</v>
      </c>
      <c r="L91" s="6">
        <f t="shared" si="4"/>
        <v>2026405999.8220651</v>
      </c>
      <c r="N91">
        <f t="shared" si="5"/>
        <v>3600</v>
      </c>
      <c r="O91">
        <f t="shared" si="6"/>
        <v>562890.55550612917</v>
      </c>
      <c r="Q91">
        <f t="shared" si="7"/>
        <v>8</v>
      </c>
    </row>
    <row r="92" spans="11:17" x14ac:dyDescent="0.3">
      <c r="K92">
        <v>81</v>
      </c>
      <c r="L92" s="6">
        <f t="shared" si="4"/>
        <v>2472215319.7829194</v>
      </c>
      <c r="N92">
        <f t="shared" si="5"/>
        <v>3645</v>
      </c>
      <c r="O92">
        <f t="shared" si="6"/>
        <v>678248.37305429892</v>
      </c>
      <c r="Q92">
        <f t="shared" si="7"/>
        <v>8.1</v>
      </c>
    </row>
    <row r="93" spans="11:17" x14ac:dyDescent="0.3">
      <c r="K93">
        <v>82</v>
      </c>
      <c r="L93" s="6">
        <f t="shared" si="4"/>
        <v>3016102690.1351614</v>
      </c>
      <c r="N93">
        <f t="shared" si="5"/>
        <v>3690</v>
      </c>
      <c r="O93">
        <f t="shared" si="6"/>
        <v>817372.00274665619</v>
      </c>
      <c r="Q93">
        <f t="shared" si="7"/>
        <v>8.2000000000000011</v>
      </c>
    </row>
    <row r="94" spans="11:17" x14ac:dyDescent="0.3">
      <c r="K94">
        <v>83</v>
      </c>
      <c r="L94" s="6">
        <f t="shared" si="4"/>
        <v>3679645281.9648967</v>
      </c>
      <c r="N94">
        <f t="shared" si="5"/>
        <v>3735</v>
      </c>
      <c r="O94">
        <f t="shared" si="6"/>
        <v>985179.4596960902</v>
      </c>
      <c r="Q94">
        <f t="shared" si="7"/>
        <v>8.3000000000000007</v>
      </c>
    </row>
    <row r="95" spans="11:17" x14ac:dyDescent="0.3">
      <c r="K95">
        <v>84</v>
      </c>
      <c r="L95" s="6">
        <f t="shared" si="4"/>
        <v>4489167243.9971733</v>
      </c>
      <c r="N95">
        <f t="shared" si="5"/>
        <v>3780</v>
      </c>
      <c r="O95">
        <f t="shared" si="6"/>
        <v>1187610.3820098343</v>
      </c>
      <c r="Q95">
        <f t="shared" si="7"/>
        <v>8.4</v>
      </c>
    </row>
    <row r="96" spans="11:17" x14ac:dyDescent="0.3">
      <c r="K96">
        <v>85</v>
      </c>
      <c r="L96" s="6">
        <f t="shared" si="4"/>
        <v>5476784037.6765518</v>
      </c>
      <c r="N96">
        <f t="shared" si="5"/>
        <v>3825</v>
      </c>
      <c r="O96">
        <f t="shared" si="6"/>
        <v>1431838.9640984449</v>
      </c>
      <c r="Q96">
        <f t="shared" si="7"/>
        <v>8.5</v>
      </c>
    </row>
    <row r="97" spans="11:17" x14ac:dyDescent="0.3">
      <c r="K97">
        <v>86</v>
      </c>
      <c r="L97" s="6">
        <f t="shared" si="4"/>
        <v>6681676525.9653931</v>
      </c>
      <c r="N97">
        <f t="shared" si="5"/>
        <v>3870</v>
      </c>
      <c r="O97">
        <f t="shared" si="6"/>
        <v>1726531.4020582412</v>
      </c>
      <c r="Q97">
        <f t="shared" si="7"/>
        <v>8.6</v>
      </c>
    </row>
    <row r="98" spans="11:17" x14ac:dyDescent="0.3">
      <c r="K98">
        <v>87</v>
      </c>
      <c r="L98" s="6">
        <f t="shared" si="4"/>
        <v>8151645361.6777802</v>
      </c>
      <c r="N98">
        <f t="shared" si="5"/>
        <v>3915</v>
      </c>
      <c r="O98">
        <f t="shared" si="6"/>
        <v>2082157.18050518</v>
      </c>
      <c r="Q98">
        <f t="shared" si="7"/>
        <v>8.7000000000000011</v>
      </c>
    </row>
    <row r="99" spans="11:17" x14ac:dyDescent="0.3">
      <c r="K99">
        <v>88</v>
      </c>
      <c r="L99" s="6">
        <f t="shared" si="4"/>
        <v>9945007341.2468891</v>
      </c>
      <c r="N99">
        <f t="shared" si="5"/>
        <v>3960</v>
      </c>
      <c r="O99">
        <f t="shared" si="6"/>
        <v>2511365.4902138608</v>
      </c>
      <c r="Q99">
        <f t="shared" si="7"/>
        <v>8.8000000000000007</v>
      </c>
    </row>
    <row r="100" spans="11:17" x14ac:dyDescent="0.3">
      <c r="K100">
        <v>89</v>
      </c>
      <c r="L100" s="6">
        <f t="shared" si="4"/>
        <v>12132908956.321205</v>
      </c>
      <c r="N100">
        <f t="shared" si="5"/>
        <v>4005</v>
      </c>
      <c r="O100">
        <f t="shared" si="6"/>
        <v>3029440.4385321359</v>
      </c>
      <c r="Q100">
        <f t="shared" si="7"/>
        <v>8.9</v>
      </c>
    </row>
    <row r="101" spans="11:17" x14ac:dyDescent="0.3">
      <c r="K101">
        <v>90</v>
      </c>
      <c r="L101" s="6">
        <f t="shared" si="4"/>
        <v>14802148926.71187</v>
      </c>
      <c r="N101">
        <f t="shared" si="5"/>
        <v>4050</v>
      </c>
      <c r="O101">
        <f t="shared" si="6"/>
        <v>3654851.5868424373</v>
      </c>
      <c r="Q101">
        <f t="shared" si="7"/>
        <v>9</v>
      </c>
    </row>
    <row r="102" spans="11:17" x14ac:dyDescent="0.3">
      <c r="K102">
        <v>91</v>
      </c>
      <c r="L102" s="6">
        <f t="shared" si="4"/>
        <v>18058621690.588478</v>
      </c>
      <c r="N102">
        <f t="shared" si="5"/>
        <v>4095</v>
      </c>
      <c r="O102">
        <f t="shared" si="6"/>
        <v>4409919.8267615335</v>
      </c>
      <c r="Q102">
        <f t="shared" si="7"/>
        <v>9.1</v>
      </c>
    </row>
    <row r="103" spans="11:17" x14ac:dyDescent="0.3">
      <c r="K103">
        <v>92</v>
      </c>
      <c r="L103" s="6">
        <f t="shared" si="4"/>
        <v>22031518462.517948</v>
      </c>
      <c r="N103">
        <f t="shared" si="5"/>
        <v>4140</v>
      </c>
      <c r="O103">
        <f t="shared" si="6"/>
        <v>5321622.8170333207</v>
      </c>
      <c r="Q103">
        <f t="shared" si="7"/>
        <v>9.2000000000000011</v>
      </c>
    </row>
    <row r="104" spans="11:17" x14ac:dyDescent="0.3">
      <c r="K104">
        <v>93</v>
      </c>
      <c r="L104" s="6">
        <f t="shared" si="4"/>
        <v>26878452524.271889</v>
      </c>
      <c r="N104">
        <f t="shared" si="5"/>
        <v>4185</v>
      </c>
      <c r="O104">
        <f t="shared" si="6"/>
        <v>6422569.3009012872</v>
      </c>
      <c r="Q104">
        <f t="shared" si="7"/>
        <v>9.3000000000000007</v>
      </c>
    </row>
    <row r="105" spans="11:17" x14ac:dyDescent="0.3">
      <c r="K105">
        <v>94</v>
      </c>
      <c r="L105" s="6">
        <f t="shared" si="4"/>
        <v>32791712079.611702</v>
      </c>
      <c r="N105">
        <f t="shared" si="5"/>
        <v>4230</v>
      </c>
      <c r="O105">
        <f t="shared" si="6"/>
        <v>7752177.7965985108</v>
      </c>
      <c r="Q105">
        <f t="shared" si="7"/>
        <v>9.4</v>
      </c>
    </row>
    <row r="106" spans="11:17" x14ac:dyDescent="0.3">
      <c r="K106">
        <v>95</v>
      </c>
      <c r="L106" s="6">
        <f t="shared" si="4"/>
        <v>40005888737.126282</v>
      </c>
      <c r="N106">
        <f t="shared" si="5"/>
        <v>4275</v>
      </c>
      <c r="O106">
        <f t="shared" si="6"/>
        <v>9358102.6285675522</v>
      </c>
      <c r="Q106">
        <f t="shared" si="7"/>
        <v>9.5</v>
      </c>
    </row>
    <row r="107" spans="11:17" x14ac:dyDescent="0.3">
      <c r="K107">
        <v>96</v>
      </c>
      <c r="L107" s="6">
        <f t="shared" si="4"/>
        <v>48807184259.294052</v>
      </c>
      <c r="N107">
        <f t="shared" si="5"/>
        <v>4320</v>
      </c>
      <c r="O107">
        <f t="shared" si="6"/>
        <v>11297959.31928103</v>
      </c>
      <c r="Q107">
        <f t="shared" si="7"/>
        <v>9.6000000000000014</v>
      </c>
    </row>
    <row r="108" spans="11:17" x14ac:dyDescent="0.3">
      <c r="K108">
        <v>97</v>
      </c>
      <c r="L108" s="6">
        <f t="shared" si="4"/>
        <v>59544764796.338753</v>
      </c>
      <c r="N108">
        <f t="shared" si="5"/>
        <v>4365</v>
      </c>
      <c r="O108">
        <f t="shared" si="6"/>
        <v>13641412.324476233</v>
      </c>
      <c r="Q108">
        <f t="shared" si="7"/>
        <v>9.7000000000000011</v>
      </c>
    </row>
    <row r="109" spans="11:17" x14ac:dyDescent="0.3">
      <c r="K109">
        <v>98</v>
      </c>
      <c r="L109" s="6">
        <f t="shared" si="4"/>
        <v>72644613051.533264</v>
      </c>
      <c r="N109">
        <f t="shared" si="5"/>
        <v>4410</v>
      </c>
      <c r="O109">
        <f t="shared" si="6"/>
        <v>16472701.372229764</v>
      </c>
      <c r="Q109">
        <f t="shared" si="7"/>
        <v>9.8000000000000007</v>
      </c>
    </row>
    <row r="110" spans="11:17" x14ac:dyDescent="0.3">
      <c r="K110">
        <v>99</v>
      </c>
      <c r="L110" s="6">
        <f t="shared" si="4"/>
        <v>88626427922.87059</v>
      </c>
      <c r="N110">
        <f t="shared" si="5"/>
        <v>4455</v>
      </c>
      <c r="O110">
        <f t="shared" si="6"/>
        <v>19893698.748119101</v>
      </c>
      <c r="Q110">
        <f t="shared" si="7"/>
        <v>9.9</v>
      </c>
    </row>
    <row r="111" spans="11:17" x14ac:dyDescent="0.3">
      <c r="K111">
        <v>100</v>
      </c>
      <c r="L111" s="6">
        <f t="shared" si="4"/>
        <v>108124242065.90211</v>
      </c>
      <c r="N111">
        <f t="shared" si="5"/>
        <v>4500</v>
      </c>
      <c r="O111">
        <f t="shared" si="6"/>
        <v>24027609.347978249</v>
      </c>
      <c r="Q111">
        <f t="shared" si="7"/>
        <v>10</v>
      </c>
    </row>
    <row r="112" spans="11:17" x14ac:dyDescent="0.3">
      <c r="K112">
        <v>101</v>
      </c>
      <c r="L112" s="6">
        <f t="shared" si="4"/>
        <v>131911575320.40056</v>
      </c>
      <c r="N112">
        <f t="shared" si="5"/>
        <v>4545</v>
      </c>
      <c r="O112">
        <f t="shared" si="6"/>
        <v>29023448.915379662</v>
      </c>
      <c r="Q112">
        <f t="shared" si="7"/>
        <v>10.100000000000001</v>
      </c>
    </row>
    <row r="113" spans="11:17" x14ac:dyDescent="0.3">
      <c r="K113">
        <v>102</v>
      </c>
      <c r="L113" s="6">
        <f t="shared" si="4"/>
        <v>160932121890.88867</v>
      </c>
      <c r="N113">
        <f t="shared" si="5"/>
        <v>4590</v>
      </c>
      <c r="O113">
        <f t="shared" si="6"/>
        <v>35061464.464245901</v>
      </c>
      <c r="Q113">
        <f t="shared" si="7"/>
        <v>10.200000000000001</v>
      </c>
    </row>
    <row r="114" spans="11:17" x14ac:dyDescent="0.3">
      <c r="K114">
        <v>103</v>
      </c>
      <c r="L114" s="6">
        <f t="shared" si="4"/>
        <v>196337188706.88422</v>
      </c>
      <c r="N114">
        <f t="shared" si="5"/>
        <v>4635</v>
      </c>
      <c r="O114">
        <f t="shared" si="6"/>
        <v>42359695.513890877</v>
      </c>
      <c r="Q114">
        <f t="shared" si="7"/>
        <v>10.3</v>
      </c>
    </row>
    <row r="115" spans="11:17" x14ac:dyDescent="0.3">
      <c r="K115">
        <v>104</v>
      </c>
      <c r="L115" s="6">
        <f t="shared" si="4"/>
        <v>239531370222.39868</v>
      </c>
      <c r="N115">
        <f t="shared" si="5"/>
        <v>4680</v>
      </c>
      <c r="O115">
        <f t="shared" si="6"/>
        <v>51181916.714187756</v>
      </c>
      <c r="Q115">
        <f t="shared" si="7"/>
        <v>10.4</v>
      </c>
    </row>
    <row r="116" spans="11:17" x14ac:dyDescent="0.3">
      <c r="K116">
        <v>105</v>
      </c>
      <c r="L116" s="6">
        <f t="shared" si="4"/>
        <v>292228271671.32642</v>
      </c>
      <c r="N116">
        <f t="shared" si="5"/>
        <v>4725</v>
      </c>
      <c r="O116">
        <f t="shared" si="6"/>
        <v>61847253.263772786</v>
      </c>
      <c r="Q116">
        <f t="shared" si="7"/>
        <v>10.5</v>
      </c>
    </row>
    <row r="117" spans="11:17" x14ac:dyDescent="0.3">
      <c r="K117">
        <v>106</v>
      </c>
      <c r="L117" s="6">
        <f t="shared" si="4"/>
        <v>356518491439.01813</v>
      </c>
      <c r="N117">
        <f t="shared" si="5"/>
        <v>4770</v>
      </c>
      <c r="O117">
        <f t="shared" si="6"/>
        <v>74741822.104615957</v>
      </c>
      <c r="Q117">
        <f t="shared" si="7"/>
        <v>10.600000000000001</v>
      </c>
    </row>
    <row r="118" spans="11:17" x14ac:dyDescent="0.3">
      <c r="K118">
        <v>107</v>
      </c>
      <c r="L118" s="6">
        <f t="shared" si="4"/>
        <v>434952559555.60217</v>
      </c>
      <c r="N118">
        <f t="shared" si="5"/>
        <v>4815</v>
      </c>
      <c r="O118">
        <f t="shared" si="6"/>
        <v>90332826.491298482</v>
      </c>
      <c r="Q118">
        <f t="shared" si="7"/>
        <v>10.700000000000001</v>
      </c>
    </row>
    <row r="119" spans="11:17" x14ac:dyDescent="0.3">
      <c r="K119">
        <v>108</v>
      </c>
      <c r="L119" s="6">
        <f t="shared" si="4"/>
        <v>530642122657.83459</v>
      </c>
      <c r="N119">
        <f t="shared" si="5"/>
        <v>4860</v>
      </c>
      <c r="O119">
        <f t="shared" si="6"/>
        <v>109185621.9460565</v>
      </c>
      <c r="Q119">
        <f t="shared" si="7"/>
        <v>10.8</v>
      </c>
    </row>
    <row r="120" spans="11:17" x14ac:dyDescent="0.3">
      <c r="K120">
        <v>109</v>
      </c>
      <c r="L120" s="6">
        <f t="shared" si="4"/>
        <v>647383389642.55823</v>
      </c>
      <c r="N120">
        <f t="shared" si="5"/>
        <v>4905</v>
      </c>
      <c r="O120">
        <f t="shared" si="6"/>
        <v>131984381.17075601</v>
      </c>
      <c r="Q120">
        <f t="shared" si="7"/>
        <v>10.9</v>
      </c>
    </row>
    <row r="121" spans="11:17" x14ac:dyDescent="0.3">
      <c r="K121">
        <v>110</v>
      </c>
      <c r="L121" s="6">
        <f t="shared" si="4"/>
        <v>789807735363.9209</v>
      </c>
      <c r="N121">
        <f t="shared" si="5"/>
        <v>4950</v>
      </c>
      <c r="O121">
        <f t="shared" si="6"/>
        <v>159557118.25533757</v>
      </c>
      <c r="Q121">
        <f t="shared" si="7"/>
        <v>11</v>
      </c>
    </row>
    <row r="122" spans="11:17" x14ac:dyDescent="0.3">
      <c r="K122">
        <v>111</v>
      </c>
      <c r="L122" s="6">
        <f t="shared" si="4"/>
        <v>963565437143.98364</v>
      </c>
      <c r="N122">
        <f t="shared" si="5"/>
        <v>4995</v>
      </c>
      <c r="O122">
        <f t="shared" si="6"/>
        <v>192905993.42221895</v>
      </c>
      <c r="Q122">
        <f t="shared" si="7"/>
        <v>11.100000000000001</v>
      </c>
    </row>
    <row r="123" spans="11:17" x14ac:dyDescent="0.3">
      <c r="K123">
        <v>112</v>
      </c>
      <c r="L123" s="6">
        <f t="shared" si="4"/>
        <v>1175549833315.6597</v>
      </c>
      <c r="N123">
        <f t="shared" si="5"/>
        <v>5040</v>
      </c>
      <c r="O123">
        <f t="shared" si="6"/>
        <v>233244014.54675788</v>
      </c>
      <c r="Q123">
        <f t="shared" si="7"/>
        <v>11.200000000000001</v>
      </c>
    </row>
    <row r="124" spans="11:17" x14ac:dyDescent="0.3">
      <c r="K124">
        <v>113</v>
      </c>
      <c r="L124" s="6">
        <f t="shared" si="4"/>
        <v>1434170796645.105</v>
      </c>
      <c r="N124">
        <f t="shared" si="5"/>
        <v>5085</v>
      </c>
      <c r="O124">
        <f t="shared" si="6"/>
        <v>282039488.03246903</v>
      </c>
      <c r="Q124">
        <f t="shared" si="7"/>
        <v>11.3</v>
      </c>
    </row>
    <row r="125" spans="11:17" x14ac:dyDescent="0.3">
      <c r="K125">
        <v>114</v>
      </c>
      <c r="L125" s="6">
        <f t="shared" si="4"/>
        <v>1749688371907.0281</v>
      </c>
      <c r="N125">
        <f t="shared" si="5"/>
        <v>5130</v>
      </c>
      <c r="O125">
        <f t="shared" si="6"/>
        <v>341069858.07154542</v>
      </c>
      <c r="Q125">
        <f t="shared" si="7"/>
        <v>11.4</v>
      </c>
    </row>
    <row r="126" spans="11:17" x14ac:dyDescent="0.3">
      <c r="K126">
        <v>115</v>
      </c>
      <c r="L126" s="6">
        <f t="shared" si="4"/>
        <v>2134619813726.574</v>
      </c>
      <c r="N126">
        <f t="shared" si="5"/>
        <v>5175</v>
      </c>
      <c r="O126">
        <f t="shared" si="6"/>
        <v>412486920.52687418</v>
      </c>
      <c r="Q126">
        <f t="shared" si="7"/>
        <v>11.5</v>
      </c>
    </row>
    <row r="127" spans="11:17" x14ac:dyDescent="0.3">
      <c r="K127">
        <v>116</v>
      </c>
      <c r="L127" s="6">
        <f t="shared" si="4"/>
        <v>2604236172746.4199</v>
      </c>
      <c r="N127">
        <f t="shared" si="5"/>
        <v>5220</v>
      </c>
      <c r="O127">
        <f t="shared" si="6"/>
        <v>498895818.53379691</v>
      </c>
      <c r="Q127">
        <f t="shared" si="7"/>
        <v>11.600000000000001</v>
      </c>
    </row>
    <row r="128" spans="11:17" x14ac:dyDescent="0.3">
      <c r="K128">
        <v>117</v>
      </c>
      <c r="L128" s="6">
        <f t="shared" si="4"/>
        <v>3177168130750.6323</v>
      </c>
      <c r="N128">
        <f t="shared" si="5"/>
        <v>5265</v>
      </c>
      <c r="O128">
        <f t="shared" si="6"/>
        <v>603450737.0846405</v>
      </c>
      <c r="Q128">
        <f t="shared" si="7"/>
        <v>11.700000000000001</v>
      </c>
    </row>
    <row r="129" spans="11:17" x14ac:dyDescent="0.3">
      <c r="K129">
        <v>118</v>
      </c>
      <c r="L129" s="6">
        <f t="shared" si="4"/>
        <v>3876145119515.7715</v>
      </c>
      <c r="N129">
        <f t="shared" si="5"/>
        <v>5310</v>
      </c>
      <c r="O129">
        <f t="shared" si="6"/>
        <v>729970832.30052197</v>
      </c>
      <c r="Q129">
        <f t="shared" si="7"/>
        <v>11.8</v>
      </c>
    </row>
    <row r="130" spans="11:17" x14ac:dyDescent="0.3">
      <c r="K130">
        <v>119</v>
      </c>
      <c r="L130" s="6">
        <f t="shared" si="4"/>
        <v>4728897045809.2412</v>
      </c>
      <c r="N130">
        <f t="shared" si="5"/>
        <v>5355</v>
      </c>
      <c r="O130">
        <f t="shared" si="6"/>
        <v>883080680.82338774</v>
      </c>
      <c r="Q130">
        <f t="shared" si="7"/>
        <v>11.9</v>
      </c>
    </row>
    <row r="131" spans="11:17" x14ac:dyDescent="0.3">
      <c r="K131">
        <v>120</v>
      </c>
      <c r="L131" s="6">
        <f t="shared" si="4"/>
        <v>5769254395887.2734</v>
      </c>
      <c r="N131">
        <f t="shared" si="5"/>
        <v>5400</v>
      </c>
      <c r="O131">
        <f t="shared" si="6"/>
        <v>1068380443.6828284</v>
      </c>
      <c r="Q131">
        <f t="shared" si="7"/>
        <v>12</v>
      </c>
    </row>
    <row r="132" spans="11:17" x14ac:dyDescent="0.3">
      <c r="K132">
        <v>121</v>
      </c>
      <c r="L132" s="6">
        <f t="shared" si="4"/>
        <v>7038490362982.4736</v>
      </c>
      <c r="N132">
        <f t="shared" si="5"/>
        <v>5445</v>
      </c>
      <c r="O132">
        <f t="shared" si="6"/>
        <v>1292652040.9517858</v>
      </c>
      <c r="Q132">
        <f t="shared" si="7"/>
        <v>12.100000000000001</v>
      </c>
    </row>
    <row r="133" spans="11:17" x14ac:dyDescent="0.3">
      <c r="K133">
        <v>122</v>
      </c>
      <c r="L133" s="6">
        <f t="shared" si="4"/>
        <v>8586958242838.6182</v>
      </c>
      <c r="N133">
        <f t="shared" si="5"/>
        <v>5490</v>
      </c>
      <c r="O133">
        <f t="shared" si="6"/>
        <v>1564108969.5516608</v>
      </c>
      <c r="Q133">
        <f t="shared" si="7"/>
        <v>12.200000000000001</v>
      </c>
    </row>
    <row r="134" spans="11:17" x14ac:dyDescent="0.3">
      <c r="K134">
        <v>123</v>
      </c>
      <c r="L134" s="6">
        <f t="shared" si="4"/>
        <v>10476089056263.113</v>
      </c>
      <c r="N134">
        <f t="shared" si="5"/>
        <v>5535</v>
      </c>
      <c r="O134">
        <f t="shared" si="6"/>
        <v>1892699016.4883673</v>
      </c>
      <c r="Q134">
        <f t="shared" si="7"/>
        <v>12.3</v>
      </c>
    </row>
    <row r="135" spans="11:17" x14ac:dyDescent="0.3">
      <c r="K135">
        <v>124</v>
      </c>
      <c r="L135" s="6">
        <f t="shared" si="4"/>
        <v>12780828648640.996</v>
      </c>
      <c r="N135">
        <f t="shared" si="5"/>
        <v>5580</v>
      </c>
      <c r="O135">
        <f t="shared" si="6"/>
        <v>2290471083.9858418</v>
      </c>
      <c r="Q135">
        <f t="shared" si="7"/>
        <v>12.4</v>
      </c>
    </row>
    <row r="136" spans="11:17" x14ac:dyDescent="0.3">
      <c r="K136">
        <v>125</v>
      </c>
      <c r="L136" s="6">
        <f t="shared" si="4"/>
        <v>15592610951342.016</v>
      </c>
      <c r="N136">
        <f t="shared" si="5"/>
        <v>5625</v>
      </c>
      <c r="O136">
        <f t="shared" si="6"/>
        <v>2772019724.6830249</v>
      </c>
      <c r="Q136">
        <f t="shared" si="7"/>
        <v>12.5</v>
      </c>
    </row>
    <row r="137" spans="11:17" x14ac:dyDescent="0.3">
      <c r="K137">
        <v>126</v>
      </c>
      <c r="L137" s="6">
        <f t="shared" si="4"/>
        <v>19022985360637.258</v>
      </c>
      <c r="N137">
        <f t="shared" si="5"/>
        <v>5670</v>
      </c>
      <c r="O137">
        <f t="shared" si="6"/>
        <v>3355023873.128264</v>
      </c>
      <c r="Q137">
        <f t="shared" si="7"/>
        <v>12.600000000000001</v>
      </c>
    </row>
    <row r="138" spans="11:17" x14ac:dyDescent="0.3">
      <c r="K138">
        <v>127</v>
      </c>
      <c r="L138" s="6">
        <f t="shared" si="4"/>
        <v>23208042139977.457</v>
      </c>
      <c r="N138">
        <f t="shared" si="5"/>
        <v>5715</v>
      </c>
      <c r="O138">
        <f t="shared" si="6"/>
        <v>4060899762.0258017</v>
      </c>
      <c r="Q138">
        <f t="shared" si="7"/>
        <v>12.700000000000001</v>
      </c>
    </row>
    <row r="139" spans="11:17" x14ac:dyDescent="0.3">
      <c r="K139">
        <v>128</v>
      </c>
      <c r="L139" s="6">
        <f t="shared" ref="L139:L202" si="8">$I$6*($I$7^K139)</f>
        <v>28313811410772.492</v>
      </c>
      <c r="N139">
        <f t="shared" ref="N139:N202" si="9">K139*$I$8*$B$4</f>
        <v>5760</v>
      </c>
      <c r="O139">
        <f t="shared" ref="O139:O202" si="10">L139/N139</f>
        <v>4915592258.8146687</v>
      </c>
      <c r="Q139">
        <f t="shared" ref="Q139:Q202" si="11">K139*$I$11*$B$5</f>
        <v>12.8</v>
      </c>
    </row>
    <row r="140" spans="11:17" x14ac:dyDescent="0.3">
      <c r="K140">
        <v>129</v>
      </c>
      <c r="L140" s="6">
        <f t="shared" si="8"/>
        <v>34542849921142.441</v>
      </c>
      <c r="N140">
        <f t="shared" si="9"/>
        <v>5805</v>
      </c>
      <c r="O140">
        <f t="shared" si="10"/>
        <v>5950534008.8100672</v>
      </c>
      <c r="Q140">
        <f t="shared" si="11"/>
        <v>12.9</v>
      </c>
    </row>
    <row r="141" spans="11:17" x14ac:dyDescent="0.3">
      <c r="K141">
        <v>130</v>
      </c>
      <c r="L141" s="6">
        <f t="shared" si="8"/>
        <v>42142276903793.781</v>
      </c>
      <c r="N141">
        <f t="shared" si="9"/>
        <v>5850</v>
      </c>
      <c r="O141">
        <f t="shared" si="10"/>
        <v>7203808017.742527</v>
      </c>
      <c r="Q141">
        <f t="shared" si="11"/>
        <v>13</v>
      </c>
    </row>
    <row r="142" spans="11:17" x14ac:dyDescent="0.3">
      <c r="K142">
        <v>131</v>
      </c>
      <c r="L142" s="6">
        <f t="shared" si="8"/>
        <v>51413577822628.406</v>
      </c>
      <c r="N142">
        <f t="shared" si="9"/>
        <v>5895</v>
      </c>
      <c r="O142">
        <f t="shared" si="10"/>
        <v>8721556882.5493488</v>
      </c>
      <c r="Q142">
        <f t="shared" si="11"/>
        <v>13.100000000000001</v>
      </c>
    </row>
    <row r="143" spans="11:17" x14ac:dyDescent="0.3">
      <c r="K143">
        <v>132</v>
      </c>
      <c r="L143" s="6">
        <f t="shared" si="8"/>
        <v>62724564943606.641</v>
      </c>
      <c r="N143">
        <f t="shared" si="9"/>
        <v>5940</v>
      </c>
      <c r="O143">
        <f t="shared" si="10"/>
        <v>10559691067.947247</v>
      </c>
      <c r="Q143">
        <f t="shared" si="11"/>
        <v>13.200000000000001</v>
      </c>
    </row>
    <row r="144" spans="11:17" x14ac:dyDescent="0.3">
      <c r="K144">
        <v>133</v>
      </c>
      <c r="L144" s="6">
        <f t="shared" si="8"/>
        <v>76523969231200.109</v>
      </c>
      <c r="N144">
        <f t="shared" si="9"/>
        <v>5985</v>
      </c>
      <c r="O144">
        <f t="shared" si="10"/>
        <v>12785959771.294922</v>
      </c>
      <c r="Q144">
        <f t="shared" si="11"/>
        <v>13.3</v>
      </c>
    </row>
    <row r="145" spans="11:17" x14ac:dyDescent="0.3">
      <c r="K145">
        <v>134</v>
      </c>
      <c r="L145" s="6">
        <f t="shared" si="8"/>
        <v>93359242462064.125</v>
      </c>
      <c r="N145">
        <f t="shared" si="9"/>
        <v>6030</v>
      </c>
      <c r="O145">
        <f t="shared" si="10"/>
        <v>15482461436.494881</v>
      </c>
      <c r="Q145">
        <f t="shared" si="11"/>
        <v>13.4</v>
      </c>
    </row>
    <row r="146" spans="11:17" x14ac:dyDescent="0.3">
      <c r="K146">
        <v>135</v>
      </c>
      <c r="L146" s="6">
        <f t="shared" si="8"/>
        <v>113898275803718.23</v>
      </c>
      <c r="N146">
        <f t="shared" si="9"/>
        <v>6075</v>
      </c>
      <c r="O146">
        <f t="shared" si="10"/>
        <v>18748687375.097652</v>
      </c>
      <c r="Q146">
        <f t="shared" si="11"/>
        <v>13.5</v>
      </c>
    </row>
    <row r="147" spans="11:17" x14ac:dyDescent="0.3">
      <c r="K147">
        <v>136</v>
      </c>
      <c r="L147" s="6">
        <f t="shared" si="8"/>
        <v>138955896480536.22</v>
      </c>
      <c r="N147">
        <f t="shared" si="9"/>
        <v>6120</v>
      </c>
      <c r="O147">
        <f t="shared" si="10"/>
        <v>22705211843.224873</v>
      </c>
      <c r="Q147">
        <f t="shared" si="11"/>
        <v>13.600000000000001</v>
      </c>
    </row>
    <row r="148" spans="11:17" x14ac:dyDescent="0.3">
      <c r="K148">
        <v>137</v>
      </c>
      <c r="L148" s="6">
        <f t="shared" si="8"/>
        <v>169526193706254.22</v>
      </c>
      <c r="N148">
        <f t="shared" si="9"/>
        <v>6165</v>
      </c>
      <c r="O148">
        <f t="shared" si="10"/>
        <v>27498166051.298332</v>
      </c>
      <c r="Q148">
        <f t="shared" si="11"/>
        <v>13.700000000000001</v>
      </c>
    </row>
    <row r="149" spans="11:17" x14ac:dyDescent="0.3">
      <c r="K149">
        <v>138</v>
      </c>
      <c r="L149" s="6">
        <f t="shared" si="8"/>
        <v>206821956321630.09</v>
      </c>
      <c r="N149">
        <f t="shared" si="9"/>
        <v>6210</v>
      </c>
      <c r="O149">
        <f t="shared" si="10"/>
        <v>33304662853.724651</v>
      </c>
      <c r="Q149">
        <f t="shared" si="11"/>
        <v>13.8</v>
      </c>
    </row>
    <row r="150" spans="11:17" x14ac:dyDescent="0.3">
      <c r="K150">
        <v>139</v>
      </c>
      <c r="L150" s="6">
        <f t="shared" si="8"/>
        <v>252322786712388.69</v>
      </c>
      <c r="N150">
        <f t="shared" si="9"/>
        <v>6255</v>
      </c>
      <c r="O150">
        <f t="shared" si="10"/>
        <v>40339374374.482605</v>
      </c>
      <c r="Q150">
        <f t="shared" si="11"/>
        <v>13.9</v>
      </c>
    </row>
    <row r="151" spans="11:17" x14ac:dyDescent="0.3">
      <c r="K151">
        <v>140</v>
      </c>
      <c r="L151" s="6">
        <f t="shared" si="8"/>
        <v>307833799789114.25</v>
      </c>
      <c r="N151">
        <f t="shared" si="9"/>
        <v>6300</v>
      </c>
      <c r="O151">
        <f t="shared" si="10"/>
        <v>48862507903.034004</v>
      </c>
      <c r="Q151">
        <f t="shared" si="11"/>
        <v>14</v>
      </c>
    </row>
    <row r="152" spans="11:17" x14ac:dyDescent="0.3">
      <c r="K152">
        <v>141</v>
      </c>
      <c r="L152" s="6">
        <f t="shared" si="8"/>
        <v>375557235742719.38</v>
      </c>
      <c r="N152">
        <f t="shared" si="9"/>
        <v>6345</v>
      </c>
      <c r="O152">
        <f t="shared" si="10"/>
        <v>59189477658.42701</v>
      </c>
      <c r="Q152">
        <f t="shared" si="11"/>
        <v>14.100000000000001</v>
      </c>
    </row>
    <row r="153" spans="11:17" x14ac:dyDescent="0.3">
      <c r="K153">
        <v>142</v>
      </c>
      <c r="L153" s="6">
        <f t="shared" si="8"/>
        <v>458179827606117.56</v>
      </c>
      <c r="N153">
        <f t="shared" si="9"/>
        <v>6390</v>
      </c>
      <c r="O153">
        <f t="shared" si="10"/>
        <v>71702633428.187408</v>
      </c>
      <c r="Q153">
        <f t="shared" si="11"/>
        <v>14.200000000000001</v>
      </c>
    </row>
    <row r="154" spans="11:17" x14ac:dyDescent="0.3">
      <c r="K154">
        <v>143</v>
      </c>
      <c r="L154" s="6">
        <f t="shared" si="8"/>
        <v>558979389679463.5</v>
      </c>
      <c r="N154">
        <f t="shared" si="9"/>
        <v>6435</v>
      </c>
      <c r="O154">
        <f t="shared" si="10"/>
        <v>86865484021.672653</v>
      </c>
      <c r="Q154">
        <f t="shared" si="11"/>
        <v>14.3</v>
      </c>
    </row>
    <row r="155" spans="11:17" x14ac:dyDescent="0.3">
      <c r="K155">
        <v>144</v>
      </c>
      <c r="L155" s="6">
        <f t="shared" si="8"/>
        <v>681954855408945.25</v>
      </c>
      <c r="N155">
        <f t="shared" si="9"/>
        <v>6480</v>
      </c>
      <c r="O155">
        <f t="shared" si="10"/>
        <v>105239946822.36809</v>
      </c>
      <c r="Q155">
        <f t="shared" si="11"/>
        <v>14.4</v>
      </c>
    </row>
    <row r="156" spans="11:17" x14ac:dyDescent="0.3">
      <c r="K156">
        <v>145</v>
      </c>
      <c r="L156" s="6">
        <f t="shared" si="8"/>
        <v>831984923598913.25</v>
      </c>
      <c r="N156">
        <f t="shared" si="9"/>
        <v>6525</v>
      </c>
      <c r="O156">
        <f t="shared" si="10"/>
        <v>127507267984.50778</v>
      </c>
      <c r="Q156">
        <f t="shared" si="11"/>
        <v>14.5</v>
      </c>
    </row>
    <row r="157" spans="11:17" x14ac:dyDescent="0.3">
      <c r="K157">
        <v>146</v>
      </c>
      <c r="L157" s="6">
        <f t="shared" si="8"/>
        <v>1015021606790674.1</v>
      </c>
      <c r="N157">
        <f t="shared" si="9"/>
        <v>6570</v>
      </c>
      <c r="O157">
        <f t="shared" si="10"/>
        <v>154493395249.72208</v>
      </c>
      <c r="Q157">
        <f t="shared" si="11"/>
        <v>14.600000000000001</v>
      </c>
    </row>
    <row r="158" spans="11:17" x14ac:dyDescent="0.3">
      <c r="K158">
        <v>147</v>
      </c>
      <c r="L158" s="6">
        <f t="shared" si="8"/>
        <v>1238326360284622.3</v>
      </c>
      <c r="N158">
        <f t="shared" si="9"/>
        <v>6615</v>
      </c>
      <c r="O158">
        <f t="shared" si="10"/>
        <v>187199752121.63602</v>
      </c>
      <c r="Q158">
        <f t="shared" si="11"/>
        <v>14.700000000000001</v>
      </c>
    </row>
    <row r="159" spans="11:17" x14ac:dyDescent="0.3">
      <c r="K159">
        <v>148</v>
      </c>
      <c r="L159" s="6">
        <f t="shared" si="8"/>
        <v>1510758159547239.3</v>
      </c>
      <c r="N159">
        <f t="shared" si="9"/>
        <v>6660</v>
      </c>
      <c r="O159">
        <f t="shared" si="10"/>
        <v>226840564496.58246</v>
      </c>
      <c r="Q159">
        <f t="shared" si="11"/>
        <v>14.8</v>
      </c>
    </row>
    <row r="160" spans="11:17" x14ac:dyDescent="0.3">
      <c r="K160">
        <v>149</v>
      </c>
      <c r="L160" s="6">
        <f t="shared" si="8"/>
        <v>1843124954647631.8</v>
      </c>
      <c r="N160">
        <f t="shared" si="9"/>
        <v>6705</v>
      </c>
      <c r="O160">
        <f t="shared" si="10"/>
        <v>274888136412.7713</v>
      </c>
      <c r="Q160">
        <f t="shared" si="11"/>
        <v>14.9</v>
      </c>
    </row>
    <row r="161" spans="11:17" x14ac:dyDescent="0.3">
      <c r="K161">
        <v>150</v>
      </c>
      <c r="L161" s="6">
        <f t="shared" si="8"/>
        <v>2248612444670110.8</v>
      </c>
      <c r="N161">
        <f t="shared" si="9"/>
        <v>6750</v>
      </c>
      <c r="O161">
        <f t="shared" si="10"/>
        <v>333127769580.75714</v>
      </c>
      <c r="Q161">
        <f t="shared" si="11"/>
        <v>15</v>
      </c>
    </row>
    <row r="162" spans="11:17" x14ac:dyDescent="0.3">
      <c r="K162">
        <v>151</v>
      </c>
      <c r="L162" s="6">
        <f t="shared" si="8"/>
        <v>2743307182497535</v>
      </c>
      <c r="N162">
        <f t="shared" si="9"/>
        <v>6795</v>
      </c>
      <c r="O162">
        <f t="shared" si="10"/>
        <v>403724383001.84473</v>
      </c>
      <c r="Q162">
        <f t="shared" si="11"/>
        <v>15.100000000000001</v>
      </c>
    </row>
    <row r="163" spans="11:17" x14ac:dyDescent="0.3">
      <c r="K163">
        <v>152</v>
      </c>
      <c r="L163" s="6">
        <f t="shared" si="8"/>
        <v>3346834762646992</v>
      </c>
      <c r="N163">
        <f t="shared" si="9"/>
        <v>6840</v>
      </c>
      <c r="O163">
        <f t="shared" si="10"/>
        <v>489303327872.36725</v>
      </c>
      <c r="Q163">
        <f t="shared" si="11"/>
        <v>15.200000000000001</v>
      </c>
    </row>
    <row r="164" spans="11:17" x14ac:dyDescent="0.3">
      <c r="K164">
        <v>153</v>
      </c>
      <c r="L164" s="6">
        <f t="shared" si="8"/>
        <v>4083138410429330.5</v>
      </c>
      <c r="N164">
        <f t="shared" si="9"/>
        <v>6885</v>
      </c>
      <c r="O164">
        <f t="shared" si="10"/>
        <v>593048425625.17505</v>
      </c>
      <c r="Q164">
        <f t="shared" si="11"/>
        <v>15.3</v>
      </c>
    </row>
    <row r="165" spans="11:17" x14ac:dyDescent="0.3">
      <c r="K165">
        <v>154</v>
      </c>
      <c r="L165" s="6">
        <f t="shared" si="8"/>
        <v>4981428860723783</v>
      </c>
      <c r="N165">
        <f t="shared" si="9"/>
        <v>6930</v>
      </c>
      <c r="O165">
        <f t="shared" si="10"/>
        <v>718820903423.34534</v>
      </c>
      <c r="Q165">
        <f t="shared" si="11"/>
        <v>15.4</v>
      </c>
    </row>
    <row r="166" spans="11:17" x14ac:dyDescent="0.3">
      <c r="K166">
        <v>155</v>
      </c>
      <c r="L166" s="6">
        <f t="shared" si="8"/>
        <v>6077343210083015</v>
      </c>
      <c r="N166">
        <f t="shared" si="9"/>
        <v>6975</v>
      </c>
      <c r="O166">
        <f t="shared" si="10"/>
        <v>871303686033.40723</v>
      </c>
      <c r="Q166">
        <f t="shared" si="11"/>
        <v>15.5</v>
      </c>
    </row>
    <row r="167" spans="11:17" x14ac:dyDescent="0.3">
      <c r="K167">
        <v>156</v>
      </c>
      <c r="L167" s="6">
        <f t="shared" si="8"/>
        <v>7414358716301278</v>
      </c>
      <c r="N167">
        <f t="shared" si="9"/>
        <v>7020</v>
      </c>
      <c r="O167">
        <f t="shared" si="10"/>
        <v>1056176455313.5724</v>
      </c>
      <c r="Q167">
        <f t="shared" si="11"/>
        <v>15.600000000000001</v>
      </c>
    </row>
    <row r="168" spans="11:17" x14ac:dyDescent="0.3">
      <c r="K168">
        <v>157</v>
      </c>
      <c r="L168" s="6">
        <f t="shared" si="8"/>
        <v>9045517633887558</v>
      </c>
      <c r="N168">
        <f t="shared" si="9"/>
        <v>7065</v>
      </c>
      <c r="O168">
        <f t="shared" si="10"/>
        <v>1280328044428.5291</v>
      </c>
      <c r="Q168">
        <f t="shared" si="11"/>
        <v>15.700000000000001</v>
      </c>
    </row>
    <row r="169" spans="11:17" x14ac:dyDescent="0.3">
      <c r="K169">
        <v>158</v>
      </c>
      <c r="L169" s="6">
        <f t="shared" si="8"/>
        <v>1.103553151334282E+16</v>
      </c>
      <c r="N169">
        <f t="shared" si="9"/>
        <v>7110</v>
      </c>
      <c r="O169">
        <f t="shared" si="10"/>
        <v>1552114136897.7244</v>
      </c>
      <c r="Q169">
        <f t="shared" si="11"/>
        <v>15.8</v>
      </c>
    </row>
    <row r="170" spans="11:17" x14ac:dyDescent="0.3">
      <c r="K170">
        <v>159</v>
      </c>
      <c r="L170" s="6">
        <f t="shared" si="8"/>
        <v>1.3463348446278242E+16</v>
      </c>
      <c r="N170">
        <f t="shared" si="9"/>
        <v>7155</v>
      </c>
      <c r="O170">
        <f t="shared" si="10"/>
        <v>1881669943574.8767</v>
      </c>
      <c r="Q170">
        <f t="shared" si="11"/>
        <v>15.9</v>
      </c>
    </row>
    <row r="171" spans="11:17" x14ac:dyDescent="0.3">
      <c r="K171">
        <v>160</v>
      </c>
      <c r="L171" s="6">
        <f t="shared" si="8"/>
        <v>1.6425285104459454E+16</v>
      </c>
      <c r="N171">
        <f t="shared" si="9"/>
        <v>7200</v>
      </c>
      <c r="O171">
        <f t="shared" si="10"/>
        <v>2281289597841.5908</v>
      </c>
      <c r="Q171">
        <f t="shared" si="11"/>
        <v>16</v>
      </c>
    </row>
    <row r="172" spans="11:17" x14ac:dyDescent="0.3">
      <c r="K172">
        <v>161</v>
      </c>
      <c r="L172" s="6">
        <f t="shared" si="8"/>
        <v>2.0038847827440532E+16</v>
      </c>
      <c r="N172">
        <f t="shared" si="9"/>
        <v>7245</v>
      </c>
      <c r="O172">
        <f t="shared" si="10"/>
        <v>2765886518625.332</v>
      </c>
      <c r="Q172">
        <f t="shared" si="11"/>
        <v>16.100000000000001</v>
      </c>
    </row>
    <row r="173" spans="11:17" x14ac:dyDescent="0.3">
      <c r="K173">
        <v>162</v>
      </c>
      <c r="L173" s="6">
        <f t="shared" si="8"/>
        <v>2.4447394349477448E+16</v>
      </c>
      <c r="N173">
        <f t="shared" si="9"/>
        <v>7290</v>
      </c>
      <c r="O173">
        <f t="shared" si="10"/>
        <v>3353552036965.3564</v>
      </c>
      <c r="Q173">
        <f t="shared" si="11"/>
        <v>16.2</v>
      </c>
    </row>
    <row r="174" spans="11:17" x14ac:dyDescent="0.3">
      <c r="K174">
        <v>163</v>
      </c>
      <c r="L174" s="6">
        <f t="shared" si="8"/>
        <v>2.9825821106362488E+16</v>
      </c>
      <c r="N174">
        <f t="shared" si="9"/>
        <v>7335</v>
      </c>
      <c r="O174">
        <f t="shared" si="10"/>
        <v>4066233279667.6875</v>
      </c>
      <c r="Q174">
        <f t="shared" si="11"/>
        <v>16.3</v>
      </c>
    </row>
    <row r="175" spans="11:17" x14ac:dyDescent="0.3">
      <c r="K175">
        <v>164</v>
      </c>
      <c r="L175" s="6">
        <f t="shared" si="8"/>
        <v>3.6387501749762232E+16</v>
      </c>
      <c r="N175">
        <f t="shared" si="9"/>
        <v>7380</v>
      </c>
      <c r="O175">
        <f t="shared" si="10"/>
        <v>4930555792650.709</v>
      </c>
      <c r="Q175">
        <f t="shared" si="11"/>
        <v>16.400000000000002</v>
      </c>
    </row>
    <row r="176" spans="11:17" x14ac:dyDescent="0.3">
      <c r="K176">
        <v>165</v>
      </c>
      <c r="L176" s="6">
        <f t="shared" si="8"/>
        <v>4.439275213470992E+16</v>
      </c>
      <c r="N176">
        <f t="shared" si="9"/>
        <v>7425</v>
      </c>
      <c r="O176">
        <f t="shared" si="10"/>
        <v>5978821836324.5684</v>
      </c>
      <c r="Q176">
        <f t="shared" si="11"/>
        <v>16.5</v>
      </c>
    </row>
    <row r="177" spans="11:17" x14ac:dyDescent="0.3">
      <c r="K177">
        <v>166</v>
      </c>
      <c r="L177" s="6">
        <f t="shared" si="8"/>
        <v>5.4159157604346096E+16</v>
      </c>
      <c r="N177">
        <f t="shared" si="9"/>
        <v>7470</v>
      </c>
      <c r="O177">
        <f t="shared" si="10"/>
        <v>7250221901518.8887</v>
      </c>
      <c r="Q177">
        <f t="shared" si="11"/>
        <v>16.600000000000001</v>
      </c>
    </row>
    <row r="178" spans="11:17" x14ac:dyDescent="0.3">
      <c r="K178">
        <v>167</v>
      </c>
      <c r="L178" s="6">
        <f t="shared" si="8"/>
        <v>6.6074172277302248E+16</v>
      </c>
      <c r="N178">
        <f t="shared" si="9"/>
        <v>7515</v>
      </c>
      <c r="O178">
        <f t="shared" si="10"/>
        <v>8792305026919.7939</v>
      </c>
      <c r="Q178">
        <f t="shared" si="11"/>
        <v>16.7</v>
      </c>
    </row>
    <row r="179" spans="11:17" x14ac:dyDescent="0.3">
      <c r="K179">
        <v>168</v>
      </c>
      <c r="L179" s="6">
        <f t="shared" si="8"/>
        <v>8.061049017830872E+16</v>
      </c>
      <c r="N179">
        <f t="shared" si="9"/>
        <v>7560</v>
      </c>
      <c r="O179">
        <f t="shared" si="10"/>
        <v>10662763251099.037</v>
      </c>
      <c r="Q179">
        <f t="shared" si="11"/>
        <v>16.8</v>
      </c>
    </row>
    <row r="180" spans="11:17" x14ac:dyDescent="0.3">
      <c r="K180">
        <v>169</v>
      </c>
      <c r="L180" s="6">
        <f t="shared" si="8"/>
        <v>9.834479801753664E+16</v>
      </c>
      <c r="N180">
        <f t="shared" si="9"/>
        <v>7605</v>
      </c>
      <c r="O180">
        <f t="shared" si="10"/>
        <v>12931597372457.152</v>
      </c>
      <c r="Q180">
        <f t="shared" si="11"/>
        <v>16.900000000000002</v>
      </c>
    </row>
    <row r="181" spans="11:17" x14ac:dyDescent="0.3">
      <c r="K181">
        <v>170</v>
      </c>
      <c r="L181" s="6">
        <f t="shared" si="8"/>
        <v>1.1998065358139469E+17</v>
      </c>
      <c r="N181">
        <f t="shared" si="9"/>
        <v>7650</v>
      </c>
      <c r="O181">
        <f t="shared" si="10"/>
        <v>15683745566195.385</v>
      </c>
      <c r="Q181">
        <f t="shared" si="11"/>
        <v>17</v>
      </c>
    </row>
    <row r="182" spans="11:17" x14ac:dyDescent="0.3">
      <c r="K182">
        <v>171</v>
      </c>
      <c r="L182" s="6">
        <f t="shared" si="8"/>
        <v>1.4637639736930154E+17</v>
      </c>
      <c r="N182">
        <f t="shared" si="9"/>
        <v>7695</v>
      </c>
      <c r="O182">
        <f t="shared" si="10"/>
        <v>19022273862157.445</v>
      </c>
      <c r="Q182">
        <f t="shared" si="11"/>
        <v>17.100000000000001</v>
      </c>
    </row>
    <row r="183" spans="11:17" x14ac:dyDescent="0.3">
      <c r="K183">
        <v>172</v>
      </c>
      <c r="L183" s="6">
        <f t="shared" si="8"/>
        <v>1.7857920479054784E+17</v>
      </c>
      <c r="N183">
        <f t="shared" si="9"/>
        <v>7740</v>
      </c>
      <c r="O183">
        <f t="shared" si="10"/>
        <v>23072248680949.332</v>
      </c>
      <c r="Q183">
        <f t="shared" si="11"/>
        <v>17.2</v>
      </c>
    </row>
    <row r="184" spans="11:17" x14ac:dyDescent="0.3">
      <c r="K184">
        <v>173</v>
      </c>
      <c r="L184" s="6">
        <f t="shared" si="8"/>
        <v>2.1786662984446835E+17</v>
      </c>
      <c r="N184">
        <f t="shared" si="9"/>
        <v>7785</v>
      </c>
      <c r="O184">
        <f t="shared" si="10"/>
        <v>27985437359597.734</v>
      </c>
      <c r="Q184">
        <f t="shared" si="11"/>
        <v>17.3</v>
      </c>
    </row>
    <row r="185" spans="11:17" x14ac:dyDescent="0.3">
      <c r="K185">
        <v>174</v>
      </c>
      <c r="L185" s="6">
        <f t="shared" si="8"/>
        <v>2.6579728841025136E+17</v>
      </c>
      <c r="N185">
        <f t="shared" si="9"/>
        <v>7830</v>
      </c>
      <c r="O185">
        <f t="shared" si="10"/>
        <v>33946013845498.258</v>
      </c>
      <c r="Q185">
        <f t="shared" si="11"/>
        <v>17.400000000000002</v>
      </c>
    </row>
    <row r="186" spans="11:17" x14ac:dyDescent="0.3">
      <c r="K186">
        <v>175</v>
      </c>
      <c r="L186" s="6">
        <f t="shared" si="8"/>
        <v>3.2427269186050669E+17</v>
      </c>
      <c r="N186">
        <f t="shared" si="9"/>
        <v>7875</v>
      </c>
      <c r="O186">
        <f t="shared" si="10"/>
        <v>41177484680699.266</v>
      </c>
      <c r="Q186">
        <f t="shared" si="11"/>
        <v>17.5</v>
      </c>
    </row>
    <row r="187" spans="11:17" x14ac:dyDescent="0.3">
      <c r="K187">
        <v>176</v>
      </c>
      <c r="L187" s="6">
        <f t="shared" si="8"/>
        <v>3.9561268406981811E+17</v>
      </c>
      <c r="N187">
        <f t="shared" si="9"/>
        <v>7920</v>
      </c>
      <c r="O187">
        <f t="shared" si="10"/>
        <v>49951096473461.883</v>
      </c>
      <c r="Q187">
        <f t="shared" si="11"/>
        <v>17.600000000000001</v>
      </c>
    </row>
    <row r="188" spans="11:17" x14ac:dyDescent="0.3">
      <c r="K188">
        <v>177</v>
      </c>
      <c r="L188" s="6">
        <f t="shared" si="8"/>
        <v>4.8264747456517805E+17</v>
      </c>
      <c r="N188">
        <f t="shared" si="9"/>
        <v>7965</v>
      </c>
      <c r="O188">
        <f t="shared" si="10"/>
        <v>60596042004416.578</v>
      </c>
      <c r="Q188">
        <f t="shared" si="11"/>
        <v>17.7</v>
      </c>
    </row>
    <row r="189" spans="11:17" x14ac:dyDescent="0.3">
      <c r="K189">
        <v>178</v>
      </c>
      <c r="L189" s="6">
        <f t="shared" si="8"/>
        <v>5.8882991896951731E+17</v>
      </c>
      <c r="N189">
        <f t="shared" si="9"/>
        <v>8010</v>
      </c>
      <c r="O189">
        <f t="shared" si="10"/>
        <v>73511850058616.391</v>
      </c>
      <c r="Q189">
        <f t="shared" si="11"/>
        <v>17.8</v>
      </c>
    </row>
    <row r="190" spans="11:17" x14ac:dyDescent="0.3">
      <c r="K190">
        <v>179</v>
      </c>
      <c r="L190" s="6">
        <f t="shared" si="8"/>
        <v>7.1837250114281101E+17</v>
      </c>
      <c r="N190">
        <f t="shared" si="9"/>
        <v>8055</v>
      </c>
      <c r="O190">
        <f t="shared" si="10"/>
        <v>89183426585078.953</v>
      </c>
      <c r="Q190">
        <f t="shared" si="11"/>
        <v>17.900000000000002</v>
      </c>
    </row>
    <row r="191" spans="11:17" x14ac:dyDescent="0.3">
      <c r="K191">
        <v>180</v>
      </c>
      <c r="L191" s="6">
        <f t="shared" si="8"/>
        <v>8.7641445139422925E+17</v>
      </c>
      <c r="N191">
        <f t="shared" si="9"/>
        <v>8100</v>
      </c>
      <c r="O191">
        <f t="shared" si="10"/>
        <v>108199314986941.88</v>
      </c>
      <c r="Q191">
        <f t="shared" si="11"/>
        <v>18</v>
      </c>
    </row>
    <row r="192" spans="11:17" x14ac:dyDescent="0.3">
      <c r="K192">
        <v>181</v>
      </c>
      <c r="L192" s="6">
        <f t="shared" si="8"/>
        <v>1.0692256307009597E+18</v>
      </c>
      <c r="N192">
        <f t="shared" si="9"/>
        <v>8145</v>
      </c>
      <c r="O192">
        <f t="shared" si="10"/>
        <v>131273865033880.88</v>
      </c>
      <c r="Q192">
        <f t="shared" si="11"/>
        <v>18.100000000000001</v>
      </c>
    </row>
    <row r="193" spans="11:17" x14ac:dyDescent="0.3">
      <c r="K193">
        <v>182</v>
      </c>
      <c r="L193" s="6">
        <f t="shared" si="8"/>
        <v>1.3044552694551708E+18</v>
      </c>
      <c r="N193">
        <f t="shared" si="9"/>
        <v>8190</v>
      </c>
      <c r="O193">
        <f t="shared" si="10"/>
        <v>159274147674624.03</v>
      </c>
      <c r="Q193">
        <f t="shared" si="11"/>
        <v>18.2</v>
      </c>
    </row>
    <row r="194" spans="11:17" x14ac:dyDescent="0.3">
      <c r="K194">
        <v>183</v>
      </c>
      <c r="L194" s="6">
        <f t="shared" si="8"/>
        <v>1.5914354287353088E+18</v>
      </c>
      <c r="N194">
        <f t="shared" si="9"/>
        <v>8235</v>
      </c>
      <c r="O194">
        <f t="shared" si="10"/>
        <v>193252632511877.22</v>
      </c>
      <c r="Q194">
        <f t="shared" si="11"/>
        <v>18.3</v>
      </c>
    </row>
    <row r="195" spans="11:17" x14ac:dyDescent="0.3">
      <c r="K195">
        <v>184</v>
      </c>
      <c r="L195" s="6">
        <f t="shared" si="8"/>
        <v>1.9415512230570762E+18</v>
      </c>
      <c r="N195">
        <f t="shared" si="9"/>
        <v>8280</v>
      </c>
      <c r="O195">
        <f t="shared" si="10"/>
        <v>234486862688052.69</v>
      </c>
      <c r="Q195">
        <f t="shared" si="11"/>
        <v>18.400000000000002</v>
      </c>
    </row>
    <row r="196" spans="11:17" x14ac:dyDescent="0.3">
      <c r="K196">
        <v>185</v>
      </c>
      <c r="L196" s="6">
        <f t="shared" si="8"/>
        <v>2.3686924921296323E+18</v>
      </c>
      <c r="N196">
        <f t="shared" si="9"/>
        <v>8325</v>
      </c>
      <c r="O196">
        <f t="shared" si="10"/>
        <v>284527626682238.13</v>
      </c>
      <c r="Q196">
        <f t="shared" si="11"/>
        <v>18.5</v>
      </c>
    </row>
    <row r="197" spans="11:17" x14ac:dyDescent="0.3">
      <c r="K197">
        <v>186</v>
      </c>
      <c r="L197" s="6">
        <f t="shared" si="8"/>
        <v>2.8898048403981527E+18</v>
      </c>
      <c r="N197">
        <f t="shared" si="9"/>
        <v>8370</v>
      </c>
      <c r="O197">
        <f t="shared" si="10"/>
        <v>345257448076242.88</v>
      </c>
      <c r="Q197">
        <f t="shared" si="11"/>
        <v>18.600000000000001</v>
      </c>
    </row>
    <row r="198" spans="11:17" x14ac:dyDescent="0.3">
      <c r="K198">
        <v>187</v>
      </c>
      <c r="L198" s="6">
        <f t="shared" si="8"/>
        <v>3.5255619052857452E+18</v>
      </c>
      <c r="N198">
        <f t="shared" si="9"/>
        <v>8415</v>
      </c>
      <c r="O198">
        <f t="shared" si="10"/>
        <v>418961604906208.56</v>
      </c>
      <c r="Q198">
        <f t="shared" si="11"/>
        <v>18.7</v>
      </c>
    </row>
    <row r="199" spans="11:17" x14ac:dyDescent="0.3">
      <c r="K199">
        <v>188</v>
      </c>
      <c r="L199" s="6">
        <f t="shared" si="8"/>
        <v>4.3011855244486093E+18</v>
      </c>
      <c r="N199">
        <f t="shared" si="9"/>
        <v>8460</v>
      </c>
      <c r="O199">
        <f t="shared" si="10"/>
        <v>508414364592034.19</v>
      </c>
      <c r="Q199">
        <f t="shared" si="11"/>
        <v>18.8</v>
      </c>
    </row>
    <row r="200" spans="11:17" x14ac:dyDescent="0.3">
      <c r="K200">
        <v>189</v>
      </c>
      <c r="L200" s="6">
        <f t="shared" si="8"/>
        <v>5.2474463398273034E+18</v>
      </c>
      <c r="N200">
        <f t="shared" si="9"/>
        <v>8505</v>
      </c>
      <c r="O200">
        <f t="shared" si="10"/>
        <v>616983696628724.63</v>
      </c>
      <c r="Q200">
        <f t="shared" si="11"/>
        <v>18.900000000000002</v>
      </c>
    </row>
    <row r="201" spans="11:17" x14ac:dyDescent="0.3">
      <c r="K201">
        <v>190</v>
      </c>
      <c r="L201" s="6">
        <f t="shared" si="8"/>
        <v>6.4018845345893089E+18</v>
      </c>
      <c r="N201">
        <f t="shared" si="9"/>
        <v>8550</v>
      </c>
      <c r="O201">
        <f t="shared" si="10"/>
        <v>748758425098164.75</v>
      </c>
      <c r="Q201">
        <f t="shared" si="11"/>
        <v>19</v>
      </c>
    </row>
    <row r="202" spans="11:17" x14ac:dyDescent="0.3">
      <c r="K202">
        <v>191</v>
      </c>
      <c r="L202" s="6">
        <f t="shared" si="8"/>
        <v>7.8102991321989571E+18</v>
      </c>
      <c r="N202">
        <f t="shared" si="9"/>
        <v>8595</v>
      </c>
      <c r="O202">
        <f t="shared" si="10"/>
        <v>908702633181961.25</v>
      </c>
      <c r="Q202">
        <f t="shared" si="11"/>
        <v>19.100000000000001</v>
      </c>
    </row>
    <row r="203" spans="11:17" x14ac:dyDescent="0.3">
      <c r="K203">
        <v>192</v>
      </c>
      <c r="L203" s="6">
        <f t="shared" ref="L203:L266" si="12">$I$6*($I$7^K203)</f>
        <v>9.5285649412827259E+18</v>
      </c>
      <c r="N203">
        <f t="shared" ref="N203:N266" si="13">K203*$I$8*$B$4</f>
        <v>8640</v>
      </c>
      <c r="O203">
        <f t="shared" ref="O203:O266" si="14">L203/N203</f>
        <v>1102843164500315.5</v>
      </c>
      <c r="Q203">
        <f t="shared" ref="Q203:Q266" si="15">K203*$I$11*$B$5</f>
        <v>19.200000000000003</v>
      </c>
    </row>
    <row r="204" spans="11:17" x14ac:dyDescent="0.3">
      <c r="K204">
        <v>193</v>
      </c>
      <c r="L204" s="6">
        <f t="shared" si="12"/>
        <v>1.1624849228364925E+19</v>
      </c>
      <c r="N204">
        <f t="shared" si="13"/>
        <v>8685</v>
      </c>
      <c r="O204">
        <f t="shared" si="14"/>
        <v>1338497320479553.8</v>
      </c>
      <c r="Q204">
        <f t="shared" si="15"/>
        <v>19.3</v>
      </c>
    </row>
    <row r="205" spans="11:17" x14ac:dyDescent="0.3">
      <c r="K205">
        <v>194</v>
      </c>
      <c r="L205" s="6">
        <f t="shared" si="12"/>
        <v>1.418231605860521E+19</v>
      </c>
      <c r="N205">
        <f t="shared" si="13"/>
        <v>8730</v>
      </c>
      <c r="O205">
        <f t="shared" si="14"/>
        <v>1624549376701627.8</v>
      </c>
      <c r="Q205">
        <f t="shared" si="15"/>
        <v>19.400000000000002</v>
      </c>
    </row>
    <row r="206" spans="11:17" x14ac:dyDescent="0.3">
      <c r="K206">
        <v>195</v>
      </c>
      <c r="L206" s="6">
        <f t="shared" si="12"/>
        <v>1.7302425591498355E+19</v>
      </c>
      <c r="N206">
        <f t="shared" si="13"/>
        <v>8775</v>
      </c>
      <c r="O206">
        <f t="shared" si="14"/>
        <v>1971786392193544.8</v>
      </c>
      <c r="Q206">
        <f t="shared" si="15"/>
        <v>19.5</v>
      </c>
    </row>
    <row r="207" spans="11:17" x14ac:dyDescent="0.3">
      <c r="K207">
        <v>196</v>
      </c>
      <c r="L207" s="6">
        <f t="shared" si="12"/>
        <v>2.110895922162799E+19</v>
      </c>
      <c r="N207">
        <f t="shared" si="13"/>
        <v>8820</v>
      </c>
      <c r="O207">
        <f t="shared" si="14"/>
        <v>2393306034198185</v>
      </c>
      <c r="Q207">
        <f t="shared" si="15"/>
        <v>19.600000000000001</v>
      </c>
    </row>
    <row r="208" spans="11:17" x14ac:dyDescent="0.3">
      <c r="K208">
        <v>197</v>
      </c>
      <c r="L208" s="6">
        <f t="shared" si="12"/>
        <v>2.5752930250386153E+19</v>
      </c>
      <c r="N208">
        <f t="shared" si="13"/>
        <v>8865</v>
      </c>
      <c r="O208">
        <f t="shared" si="14"/>
        <v>2905011872575990</v>
      </c>
      <c r="Q208">
        <f t="shared" si="15"/>
        <v>19.700000000000003</v>
      </c>
    </row>
    <row r="209" spans="11:17" x14ac:dyDescent="0.3">
      <c r="K209">
        <v>198</v>
      </c>
      <c r="L209" s="6">
        <f t="shared" si="12"/>
        <v>3.1418574905471099E+19</v>
      </c>
      <c r="N209">
        <f t="shared" si="13"/>
        <v>8910</v>
      </c>
      <c r="O209">
        <f t="shared" si="14"/>
        <v>3526214916438956</v>
      </c>
      <c r="Q209">
        <f t="shared" si="15"/>
        <v>19.8</v>
      </c>
    </row>
    <row r="210" spans="11:17" x14ac:dyDescent="0.3">
      <c r="K210">
        <v>199</v>
      </c>
      <c r="L210" s="6">
        <f t="shared" si="12"/>
        <v>3.8330661384674738E+19</v>
      </c>
      <c r="N210">
        <f t="shared" si="13"/>
        <v>8955</v>
      </c>
      <c r="O210">
        <f t="shared" si="14"/>
        <v>4280364197060272.5</v>
      </c>
      <c r="Q210">
        <f t="shared" si="15"/>
        <v>19.900000000000002</v>
      </c>
    </row>
    <row r="211" spans="11:17" x14ac:dyDescent="0.3">
      <c r="K211">
        <v>200</v>
      </c>
      <c r="L211" s="6">
        <f t="shared" si="12"/>
        <v>4.6763406889303179E+19</v>
      </c>
      <c r="N211">
        <f t="shared" si="13"/>
        <v>9000</v>
      </c>
      <c r="O211">
        <f t="shared" si="14"/>
        <v>5195934098811464</v>
      </c>
      <c r="Q211">
        <f t="shared" si="15"/>
        <v>20</v>
      </c>
    </row>
    <row r="212" spans="11:17" x14ac:dyDescent="0.3">
      <c r="K212">
        <v>201</v>
      </c>
      <c r="L212" s="6">
        <f t="shared" si="12"/>
        <v>5.7051356404949877E+19</v>
      </c>
      <c r="N212">
        <f t="shared" si="13"/>
        <v>9045</v>
      </c>
      <c r="O212">
        <f t="shared" si="14"/>
        <v>6307502090099489</v>
      </c>
      <c r="Q212">
        <f t="shared" si="15"/>
        <v>20.100000000000001</v>
      </c>
    </row>
    <row r="213" spans="11:17" x14ac:dyDescent="0.3">
      <c r="K213">
        <v>202</v>
      </c>
      <c r="L213" s="6">
        <f t="shared" si="12"/>
        <v>6.9602654814038852E+19</v>
      </c>
      <c r="N213">
        <f t="shared" si="13"/>
        <v>9090</v>
      </c>
      <c r="O213">
        <f t="shared" si="14"/>
        <v>7657057735317805</v>
      </c>
      <c r="Q213">
        <f t="shared" si="15"/>
        <v>20.200000000000003</v>
      </c>
    </row>
    <row r="214" spans="11:17" x14ac:dyDescent="0.3">
      <c r="K214">
        <v>203</v>
      </c>
      <c r="L214" s="6">
        <f t="shared" si="12"/>
        <v>8.4915238873127371E+19</v>
      </c>
      <c r="N214">
        <f t="shared" si="13"/>
        <v>9135</v>
      </c>
      <c r="O214">
        <f t="shared" si="14"/>
        <v>9295592651683346</v>
      </c>
      <c r="Q214">
        <f t="shared" si="15"/>
        <v>20.3</v>
      </c>
    </row>
    <row r="215" spans="11:17" x14ac:dyDescent="0.3">
      <c r="K215">
        <v>204</v>
      </c>
      <c r="L215" s="6">
        <f t="shared" si="12"/>
        <v>1.0359659142521541E+20</v>
      </c>
      <c r="N215">
        <f t="shared" si="13"/>
        <v>9180</v>
      </c>
      <c r="O215">
        <f t="shared" si="14"/>
        <v>1.1285031745666168E+16</v>
      </c>
      <c r="Q215">
        <f t="shared" si="15"/>
        <v>20.400000000000002</v>
      </c>
    </row>
    <row r="216" spans="11:17" x14ac:dyDescent="0.3">
      <c r="K216">
        <v>205</v>
      </c>
      <c r="L216" s="6">
        <f t="shared" si="12"/>
        <v>1.2638784153876278E+20</v>
      </c>
      <c r="N216">
        <f t="shared" si="13"/>
        <v>9225</v>
      </c>
      <c r="O216">
        <f t="shared" si="14"/>
        <v>1.3700579028592172E+16</v>
      </c>
      <c r="Q216">
        <f t="shared" si="15"/>
        <v>20.5</v>
      </c>
    </row>
    <row r="217" spans="11:17" x14ac:dyDescent="0.3">
      <c r="K217">
        <v>206</v>
      </c>
      <c r="L217" s="6">
        <f t="shared" si="12"/>
        <v>1.5419316667729058E+20</v>
      </c>
      <c r="N217">
        <f t="shared" si="13"/>
        <v>9270</v>
      </c>
      <c r="O217">
        <f t="shared" si="14"/>
        <v>1.6633567063353892E+16</v>
      </c>
      <c r="Q217">
        <f t="shared" si="15"/>
        <v>20.6</v>
      </c>
    </row>
    <row r="218" spans="11:17" x14ac:dyDescent="0.3">
      <c r="K218">
        <v>207</v>
      </c>
      <c r="L218" s="6">
        <f t="shared" si="12"/>
        <v>1.8811566334629452E+20</v>
      </c>
      <c r="N218">
        <f t="shared" si="13"/>
        <v>9315</v>
      </c>
      <c r="O218">
        <f t="shared" si="14"/>
        <v>2.0194918233633336E+16</v>
      </c>
      <c r="Q218">
        <f t="shared" si="15"/>
        <v>20.700000000000003</v>
      </c>
    </row>
    <row r="219" spans="11:17" x14ac:dyDescent="0.3">
      <c r="K219">
        <v>208</v>
      </c>
      <c r="L219" s="6">
        <f t="shared" si="12"/>
        <v>2.2950110928247931E+20</v>
      </c>
      <c r="N219">
        <f t="shared" si="13"/>
        <v>9360</v>
      </c>
      <c r="O219">
        <f t="shared" si="14"/>
        <v>2.4519349282316164E+16</v>
      </c>
      <c r="Q219">
        <f t="shared" si="15"/>
        <v>20.8</v>
      </c>
    </row>
    <row r="220" spans="11:17" x14ac:dyDescent="0.3">
      <c r="K220">
        <v>209</v>
      </c>
      <c r="L220" s="6">
        <f t="shared" si="12"/>
        <v>2.7999135332462474E+20</v>
      </c>
      <c r="N220">
        <f t="shared" si="13"/>
        <v>9405</v>
      </c>
      <c r="O220">
        <f t="shared" si="14"/>
        <v>2.9770478822394976E+16</v>
      </c>
      <c r="Q220">
        <f t="shared" si="15"/>
        <v>20.900000000000002</v>
      </c>
    </row>
    <row r="221" spans="11:17" x14ac:dyDescent="0.3">
      <c r="K221">
        <v>210</v>
      </c>
      <c r="L221" s="6">
        <f t="shared" si="12"/>
        <v>3.4158945105604215E+20</v>
      </c>
      <c r="N221">
        <f t="shared" si="13"/>
        <v>9450</v>
      </c>
      <c r="O221">
        <f t="shared" si="14"/>
        <v>3.614703185778224E+16</v>
      </c>
      <c r="Q221">
        <f t="shared" si="15"/>
        <v>21</v>
      </c>
    </row>
    <row r="222" spans="11:17" x14ac:dyDescent="0.3">
      <c r="K222">
        <v>211</v>
      </c>
      <c r="L222" s="6">
        <f t="shared" si="12"/>
        <v>4.167391302883714E+20</v>
      </c>
      <c r="N222">
        <f t="shared" si="13"/>
        <v>9495</v>
      </c>
      <c r="O222">
        <f t="shared" si="14"/>
        <v>4.3890377070918528E+16</v>
      </c>
      <c r="Q222">
        <f t="shared" si="15"/>
        <v>21.1</v>
      </c>
    </row>
    <row r="223" spans="11:17" x14ac:dyDescent="0.3">
      <c r="K223">
        <v>212</v>
      </c>
      <c r="L223" s="6">
        <f t="shared" si="12"/>
        <v>5.0842173895181304E+20</v>
      </c>
      <c r="N223">
        <f t="shared" si="13"/>
        <v>9540</v>
      </c>
      <c r="O223">
        <f t="shared" si="14"/>
        <v>5.3293683328282288E+16</v>
      </c>
      <c r="Q223">
        <f t="shared" si="15"/>
        <v>21.200000000000003</v>
      </c>
    </row>
    <row r="224" spans="11:17" x14ac:dyDescent="0.3">
      <c r="K224">
        <v>213</v>
      </c>
      <c r="L224" s="6">
        <f t="shared" si="12"/>
        <v>6.2027452152121197E+20</v>
      </c>
      <c r="N224">
        <f t="shared" si="13"/>
        <v>9585</v>
      </c>
      <c r="O224">
        <f t="shared" si="14"/>
        <v>6.4713043455525504E+16</v>
      </c>
      <c r="Q224">
        <f t="shared" si="15"/>
        <v>21.3</v>
      </c>
    </row>
    <row r="225" spans="11:17" x14ac:dyDescent="0.3">
      <c r="K225">
        <v>214</v>
      </c>
      <c r="L225" s="6">
        <f t="shared" si="12"/>
        <v>7.5673491625587848E+20</v>
      </c>
      <c r="N225">
        <f t="shared" si="13"/>
        <v>9630</v>
      </c>
      <c r="O225">
        <f t="shared" si="14"/>
        <v>7.8580988188564736E+16</v>
      </c>
      <c r="Q225">
        <f t="shared" si="15"/>
        <v>21.400000000000002</v>
      </c>
    </row>
    <row r="226" spans="11:17" x14ac:dyDescent="0.3">
      <c r="K226">
        <v>215</v>
      </c>
      <c r="L226" s="6">
        <f t="shared" si="12"/>
        <v>9.2321659783217191E+20</v>
      </c>
      <c r="N226">
        <f t="shared" si="13"/>
        <v>9675</v>
      </c>
      <c r="O226">
        <f t="shared" si="14"/>
        <v>9.5422904168699936E+16</v>
      </c>
      <c r="Q226">
        <f t="shared" si="15"/>
        <v>21.5</v>
      </c>
    </row>
    <row r="227" spans="11:17" x14ac:dyDescent="0.3">
      <c r="K227">
        <v>216</v>
      </c>
      <c r="L227" s="6">
        <f t="shared" si="12"/>
        <v>1.1263242493552495E+21</v>
      </c>
      <c r="N227">
        <f t="shared" si="13"/>
        <v>9720</v>
      </c>
      <c r="O227">
        <f t="shared" si="14"/>
        <v>1.1587698038634254E+17</v>
      </c>
      <c r="Q227">
        <f t="shared" si="15"/>
        <v>21.6</v>
      </c>
    </row>
    <row r="228" spans="11:17" x14ac:dyDescent="0.3">
      <c r="K228">
        <v>217</v>
      </c>
      <c r="L228" s="6">
        <f t="shared" si="12"/>
        <v>1.3741155842134044E+21</v>
      </c>
      <c r="N228">
        <f t="shared" si="13"/>
        <v>9765</v>
      </c>
      <c r="O228">
        <f t="shared" si="14"/>
        <v>1.4071844180372805E+17</v>
      </c>
      <c r="Q228">
        <f t="shared" si="15"/>
        <v>21.700000000000003</v>
      </c>
    </row>
    <row r="229" spans="11:17" x14ac:dyDescent="0.3">
      <c r="K229">
        <v>218</v>
      </c>
      <c r="L229" s="6">
        <f t="shared" si="12"/>
        <v>1.6764210127403533E+21</v>
      </c>
      <c r="N229">
        <f t="shared" si="13"/>
        <v>9810</v>
      </c>
      <c r="O229">
        <f t="shared" si="14"/>
        <v>1.7088899212439891E+17</v>
      </c>
      <c r="Q229">
        <f t="shared" si="15"/>
        <v>21.8</v>
      </c>
    </row>
    <row r="230" spans="11:17" x14ac:dyDescent="0.3">
      <c r="K230">
        <v>219</v>
      </c>
      <c r="L230" s="6">
        <f t="shared" si="12"/>
        <v>2.0452336355432307E+21</v>
      </c>
      <c r="N230">
        <f t="shared" si="13"/>
        <v>9855</v>
      </c>
      <c r="O230">
        <f t="shared" si="14"/>
        <v>2.0753258605207821E+17</v>
      </c>
      <c r="Q230">
        <f t="shared" si="15"/>
        <v>21.900000000000002</v>
      </c>
    </row>
    <row r="231" spans="11:17" x14ac:dyDescent="0.3">
      <c r="K231">
        <v>220</v>
      </c>
      <c r="L231" s="6">
        <f t="shared" si="12"/>
        <v>2.4951850353627418E+21</v>
      </c>
      <c r="N231">
        <f t="shared" si="13"/>
        <v>9900</v>
      </c>
      <c r="O231">
        <f t="shared" si="14"/>
        <v>2.5203889246088301E+17</v>
      </c>
      <c r="Q231">
        <f t="shared" si="15"/>
        <v>22</v>
      </c>
    </row>
    <row r="232" spans="11:17" x14ac:dyDescent="0.3">
      <c r="K232">
        <v>221</v>
      </c>
      <c r="L232" s="6">
        <f t="shared" si="12"/>
        <v>3.0441257431425446E+21</v>
      </c>
      <c r="N232">
        <f t="shared" si="13"/>
        <v>9945</v>
      </c>
      <c r="O232">
        <f t="shared" si="14"/>
        <v>3.0609610288009498E+17</v>
      </c>
      <c r="Q232">
        <f t="shared" si="15"/>
        <v>22.1</v>
      </c>
    </row>
    <row r="233" spans="11:17" x14ac:dyDescent="0.3">
      <c r="K233">
        <v>222</v>
      </c>
      <c r="L233" s="6">
        <f t="shared" si="12"/>
        <v>3.7138334066339039E+21</v>
      </c>
      <c r="N233">
        <f t="shared" si="13"/>
        <v>9990</v>
      </c>
      <c r="O233">
        <f t="shared" si="14"/>
        <v>3.7175509575914957E+17</v>
      </c>
      <c r="Q233">
        <f t="shared" si="15"/>
        <v>22.200000000000003</v>
      </c>
    </row>
    <row r="234" spans="11:17" x14ac:dyDescent="0.3">
      <c r="K234">
        <v>223</v>
      </c>
      <c r="L234" s="6">
        <f t="shared" si="12"/>
        <v>4.530876756093363E+21</v>
      </c>
      <c r="N234">
        <f t="shared" si="13"/>
        <v>10035</v>
      </c>
      <c r="O234">
        <f t="shared" si="14"/>
        <v>4.5150739971035008E+17</v>
      </c>
      <c r="Q234">
        <f t="shared" si="15"/>
        <v>22.3</v>
      </c>
    </row>
    <row r="235" spans="11:17" x14ac:dyDescent="0.3">
      <c r="K235">
        <v>224</v>
      </c>
      <c r="L235" s="6">
        <f t="shared" si="12"/>
        <v>5.5276696424339021E+21</v>
      </c>
      <c r="N235">
        <f t="shared" si="13"/>
        <v>10080</v>
      </c>
      <c r="O235">
        <f t="shared" si="14"/>
        <v>5.4837992484463315E+17</v>
      </c>
      <c r="Q235">
        <f t="shared" si="15"/>
        <v>22.400000000000002</v>
      </c>
    </row>
    <row r="236" spans="11:17" x14ac:dyDescent="0.3">
      <c r="K236">
        <v>225</v>
      </c>
      <c r="L236" s="6">
        <f t="shared" si="12"/>
        <v>6.7437569637693616E+21</v>
      </c>
      <c r="N236">
        <f t="shared" si="13"/>
        <v>10125</v>
      </c>
      <c r="O236">
        <f t="shared" si="14"/>
        <v>6.6605007049573939E+17</v>
      </c>
      <c r="Q236">
        <f t="shared" si="15"/>
        <v>22.5</v>
      </c>
    </row>
    <row r="237" spans="11:17" x14ac:dyDescent="0.3">
      <c r="K237">
        <v>226</v>
      </c>
      <c r="L237" s="6">
        <f t="shared" si="12"/>
        <v>8.2273834957986196E+21</v>
      </c>
      <c r="N237">
        <f t="shared" si="13"/>
        <v>10170</v>
      </c>
      <c r="O237">
        <f t="shared" si="14"/>
        <v>8.0898559447380723E+17</v>
      </c>
      <c r="Q237">
        <f t="shared" si="15"/>
        <v>22.6</v>
      </c>
    </row>
    <row r="238" spans="11:17" x14ac:dyDescent="0.3">
      <c r="K238">
        <v>227</v>
      </c>
      <c r="L238" s="6">
        <f t="shared" si="12"/>
        <v>1.0037407864874315E+22</v>
      </c>
      <c r="N238">
        <f t="shared" si="13"/>
        <v>10215</v>
      </c>
      <c r="O238">
        <f t="shared" si="14"/>
        <v>9.8261457316439706E+17</v>
      </c>
      <c r="Q238">
        <f t="shared" si="15"/>
        <v>22.700000000000003</v>
      </c>
    </row>
    <row r="239" spans="11:17" x14ac:dyDescent="0.3">
      <c r="K239">
        <v>228</v>
      </c>
      <c r="L239" s="6">
        <f t="shared" si="12"/>
        <v>1.2245637595146666E+22</v>
      </c>
      <c r="N239">
        <f t="shared" si="13"/>
        <v>10260</v>
      </c>
      <c r="O239">
        <f t="shared" si="14"/>
        <v>1.1935319293515269E+18</v>
      </c>
      <c r="Q239">
        <f t="shared" si="15"/>
        <v>22.8</v>
      </c>
    </row>
    <row r="240" spans="11:17" x14ac:dyDescent="0.3">
      <c r="K240">
        <v>229</v>
      </c>
      <c r="L240" s="6">
        <f t="shared" si="12"/>
        <v>1.4939677866078931E+22</v>
      </c>
      <c r="N240">
        <f t="shared" si="13"/>
        <v>10305</v>
      </c>
      <c r="O240">
        <f t="shared" si="14"/>
        <v>1.4497503994254177E+18</v>
      </c>
      <c r="Q240">
        <f t="shared" si="15"/>
        <v>22.900000000000002</v>
      </c>
    </row>
    <row r="241" spans="11:17" x14ac:dyDescent="0.3">
      <c r="K241">
        <v>230</v>
      </c>
      <c r="L241" s="6">
        <f t="shared" si="12"/>
        <v>1.8226406996616292E+22</v>
      </c>
      <c r="N241">
        <f t="shared" si="13"/>
        <v>10350</v>
      </c>
      <c r="O241">
        <f t="shared" si="14"/>
        <v>1.7610055069194486E+18</v>
      </c>
      <c r="Q241">
        <f t="shared" si="15"/>
        <v>23</v>
      </c>
    </row>
    <row r="242" spans="11:17" x14ac:dyDescent="0.3">
      <c r="K242">
        <v>231</v>
      </c>
      <c r="L242" s="6">
        <f t="shared" si="12"/>
        <v>2.223621653587188E+22</v>
      </c>
      <c r="N242">
        <f t="shared" si="13"/>
        <v>10395</v>
      </c>
      <c r="O242">
        <f t="shared" si="14"/>
        <v>2.1391261698770447E+18</v>
      </c>
      <c r="Q242">
        <f t="shared" si="15"/>
        <v>23.1</v>
      </c>
    </row>
    <row r="243" spans="11:17" x14ac:dyDescent="0.3">
      <c r="K243">
        <v>232</v>
      </c>
      <c r="L243" s="6">
        <f t="shared" si="12"/>
        <v>2.7128184173763685E+22</v>
      </c>
      <c r="N243">
        <f t="shared" si="13"/>
        <v>10440</v>
      </c>
      <c r="O243">
        <f t="shared" si="14"/>
        <v>2.5984850741152952E+18</v>
      </c>
      <c r="Q243">
        <f t="shared" si="15"/>
        <v>23.200000000000003</v>
      </c>
    </row>
    <row r="244" spans="11:17" x14ac:dyDescent="0.3">
      <c r="K244">
        <v>233</v>
      </c>
      <c r="L244" s="6">
        <f t="shared" si="12"/>
        <v>3.3096384691991698E+22</v>
      </c>
      <c r="N244">
        <f t="shared" si="13"/>
        <v>10485</v>
      </c>
      <c r="O244">
        <f t="shared" si="14"/>
        <v>3.1565459887450358E+18</v>
      </c>
      <c r="Q244">
        <f t="shared" si="15"/>
        <v>23.3</v>
      </c>
    </row>
    <row r="245" spans="11:17" x14ac:dyDescent="0.3">
      <c r="K245">
        <v>234</v>
      </c>
      <c r="L245" s="6">
        <f t="shared" si="12"/>
        <v>4.0377589324229858E+22</v>
      </c>
      <c r="N245">
        <f t="shared" si="13"/>
        <v>10530</v>
      </c>
      <c r="O245">
        <f t="shared" si="14"/>
        <v>3.8345289006865961E+18</v>
      </c>
      <c r="Q245">
        <f t="shared" si="15"/>
        <v>23.400000000000002</v>
      </c>
    </row>
    <row r="246" spans="11:17" x14ac:dyDescent="0.3">
      <c r="K246">
        <v>235</v>
      </c>
      <c r="L246" s="6">
        <f t="shared" si="12"/>
        <v>4.9260658975560442E+22</v>
      </c>
      <c r="N246">
        <f t="shared" si="13"/>
        <v>10575</v>
      </c>
      <c r="O246">
        <f t="shared" si="14"/>
        <v>4.6582183428425953E+18</v>
      </c>
      <c r="Q246">
        <f t="shared" si="15"/>
        <v>23.5</v>
      </c>
    </row>
    <row r="247" spans="11:17" x14ac:dyDescent="0.3">
      <c r="K247">
        <v>236</v>
      </c>
      <c r="L247" s="6">
        <f t="shared" si="12"/>
        <v>6.0098003950183733E+22</v>
      </c>
      <c r="N247">
        <f t="shared" si="13"/>
        <v>10620</v>
      </c>
      <c r="O247">
        <f t="shared" si="14"/>
        <v>5.6589457580210668E+18</v>
      </c>
      <c r="Q247">
        <f t="shared" si="15"/>
        <v>23.6</v>
      </c>
    </row>
    <row r="248" spans="11:17" x14ac:dyDescent="0.3">
      <c r="K248">
        <v>237</v>
      </c>
      <c r="L248" s="6">
        <f t="shared" si="12"/>
        <v>7.3319564819224158E+22</v>
      </c>
      <c r="N248">
        <f t="shared" si="13"/>
        <v>10665</v>
      </c>
      <c r="O248">
        <f t="shared" si="14"/>
        <v>6.8747833867064381E+18</v>
      </c>
      <c r="Q248">
        <f t="shared" si="15"/>
        <v>23.700000000000003</v>
      </c>
    </row>
    <row r="249" spans="11:17" x14ac:dyDescent="0.3">
      <c r="K249">
        <v>238</v>
      </c>
      <c r="L249" s="6">
        <f t="shared" si="12"/>
        <v>8.9449869079453458E+22</v>
      </c>
      <c r="N249">
        <f t="shared" si="13"/>
        <v>10710</v>
      </c>
      <c r="O249">
        <f t="shared" si="14"/>
        <v>8.3519952455138621E+18</v>
      </c>
      <c r="Q249">
        <f t="shared" si="15"/>
        <v>23.8</v>
      </c>
    </row>
    <row r="250" spans="11:17" x14ac:dyDescent="0.3">
      <c r="K250">
        <v>239</v>
      </c>
      <c r="L250" s="6">
        <f t="shared" si="12"/>
        <v>1.0912884027693323E+23</v>
      </c>
      <c r="N250">
        <f t="shared" si="13"/>
        <v>10755</v>
      </c>
      <c r="O250">
        <f t="shared" si="14"/>
        <v>1.014680058362931E+19</v>
      </c>
      <c r="Q250">
        <f t="shared" si="15"/>
        <v>23.900000000000002</v>
      </c>
    </row>
    <row r="251" spans="11:17" x14ac:dyDescent="0.3">
      <c r="K251">
        <v>240</v>
      </c>
      <c r="L251" s="6">
        <f t="shared" si="12"/>
        <v>1.3313718513785852E+23</v>
      </c>
      <c r="N251">
        <f t="shared" si="13"/>
        <v>10800</v>
      </c>
      <c r="O251">
        <f t="shared" si="14"/>
        <v>1.2327517142394307E+19</v>
      </c>
      <c r="Q251">
        <f t="shared" si="15"/>
        <v>24</v>
      </c>
    </row>
    <row r="252" spans="11:17" x14ac:dyDescent="0.3">
      <c r="K252">
        <v>241</v>
      </c>
      <c r="L252" s="6">
        <f t="shared" si="12"/>
        <v>1.6242736586818737E+23</v>
      </c>
      <c r="N252">
        <f t="shared" si="13"/>
        <v>10845</v>
      </c>
      <c r="O252">
        <f t="shared" si="14"/>
        <v>1.4977166055157895E+19</v>
      </c>
      <c r="Q252">
        <f t="shared" si="15"/>
        <v>24.1</v>
      </c>
    </row>
    <row r="253" spans="11:17" x14ac:dyDescent="0.3">
      <c r="K253">
        <v>242</v>
      </c>
      <c r="L253" s="6">
        <f t="shared" si="12"/>
        <v>1.9816138635918864E+23</v>
      </c>
      <c r="N253">
        <f t="shared" si="13"/>
        <v>10890</v>
      </c>
      <c r="O253">
        <f t="shared" si="14"/>
        <v>1.8196637865857542E+19</v>
      </c>
      <c r="Q253">
        <f t="shared" si="15"/>
        <v>24.200000000000003</v>
      </c>
    </row>
    <row r="254" spans="11:17" x14ac:dyDescent="0.3">
      <c r="K254">
        <v>243</v>
      </c>
      <c r="L254" s="6">
        <f t="shared" si="12"/>
        <v>2.4175689135821006E+23</v>
      </c>
      <c r="N254">
        <f t="shared" si="13"/>
        <v>10935</v>
      </c>
      <c r="O254">
        <f t="shared" si="14"/>
        <v>2.2108540590599913E+19</v>
      </c>
      <c r="Q254">
        <f t="shared" si="15"/>
        <v>24.3</v>
      </c>
    </row>
    <row r="255" spans="11:17" x14ac:dyDescent="0.3">
      <c r="K255">
        <v>244</v>
      </c>
      <c r="L255" s="6">
        <f t="shared" si="12"/>
        <v>2.9494340745701625E+23</v>
      </c>
      <c r="N255">
        <f t="shared" si="13"/>
        <v>10980</v>
      </c>
      <c r="O255">
        <f t="shared" si="14"/>
        <v>2.6861876817578893E+19</v>
      </c>
      <c r="Q255">
        <f t="shared" si="15"/>
        <v>24.400000000000002</v>
      </c>
    </row>
    <row r="256" spans="11:17" x14ac:dyDescent="0.3">
      <c r="K256">
        <v>245</v>
      </c>
      <c r="L256" s="6">
        <f t="shared" si="12"/>
        <v>3.5983095709755987E+23</v>
      </c>
      <c r="N256">
        <f t="shared" si="13"/>
        <v>11025</v>
      </c>
      <c r="O256">
        <f t="shared" si="14"/>
        <v>3.2637728534926066E+19</v>
      </c>
      <c r="Q256">
        <f t="shared" si="15"/>
        <v>24.5</v>
      </c>
    </row>
    <row r="257" spans="11:17" x14ac:dyDescent="0.3">
      <c r="K257">
        <v>246</v>
      </c>
      <c r="L257" s="6">
        <f t="shared" si="12"/>
        <v>4.3899376765902295E+23</v>
      </c>
      <c r="N257">
        <f t="shared" si="13"/>
        <v>11070</v>
      </c>
      <c r="O257">
        <f t="shared" si="14"/>
        <v>3.9656166906867474E+19</v>
      </c>
      <c r="Q257">
        <f t="shared" si="15"/>
        <v>24.6</v>
      </c>
    </row>
    <row r="258" spans="11:17" x14ac:dyDescent="0.3">
      <c r="K258">
        <v>247</v>
      </c>
      <c r="L258" s="6">
        <f t="shared" si="12"/>
        <v>5.3557239654400809E+23</v>
      </c>
      <c r="N258">
        <f t="shared" si="13"/>
        <v>11115</v>
      </c>
      <c r="O258">
        <f t="shared" si="14"/>
        <v>4.8184651061089346E+19</v>
      </c>
      <c r="Q258">
        <f t="shared" si="15"/>
        <v>24.700000000000003</v>
      </c>
    </row>
    <row r="259" spans="11:17" x14ac:dyDescent="0.3">
      <c r="K259">
        <v>248</v>
      </c>
      <c r="L259" s="6">
        <f t="shared" si="12"/>
        <v>6.5339832378368976E+23</v>
      </c>
      <c r="N259">
        <f t="shared" si="13"/>
        <v>11160</v>
      </c>
      <c r="O259">
        <f t="shared" si="14"/>
        <v>5.8548236898180088E+19</v>
      </c>
      <c r="Q259">
        <f t="shared" si="15"/>
        <v>24.8</v>
      </c>
    </row>
    <row r="260" spans="11:17" x14ac:dyDescent="0.3">
      <c r="K260">
        <v>249</v>
      </c>
      <c r="L260" s="6">
        <f t="shared" si="12"/>
        <v>7.9714595501610143E+23</v>
      </c>
      <c r="N260">
        <f t="shared" si="13"/>
        <v>11205</v>
      </c>
      <c r="O260">
        <f t="shared" si="14"/>
        <v>7.1141986168326767E+19</v>
      </c>
      <c r="Q260">
        <f t="shared" si="15"/>
        <v>24.900000000000002</v>
      </c>
    </row>
    <row r="261" spans="11:17" x14ac:dyDescent="0.3">
      <c r="K261">
        <v>250</v>
      </c>
      <c r="L261" s="6">
        <f t="shared" si="12"/>
        <v>9.7251806511964379E+23</v>
      </c>
      <c r="N261">
        <f t="shared" si="13"/>
        <v>11250</v>
      </c>
      <c r="O261">
        <f t="shared" si="14"/>
        <v>8.6446050232857231E+19</v>
      </c>
      <c r="Q261">
        <f t="shared" si="15"/>
        <v>25</v>
      </c>
    </row>
    <row r="262" spans="11:17" x14ac:dyDescent="0.3">
      <c r="K262">
        <v>251</v>
      </c>
      <c r="L262" s="6">
        <f t="shared" si="12"/>
        <v>1.1864720394459653E+24</v>
      </c>
      <c r="N262">
        <f t="shared" si="13"/>
        <v>11295</v>
      </c>
      <c r="O262">
        <f t="shared" si="14"/>
        <v>1.0504400526303366E+20</v>
      </c>
      <c r="Q262">
        <f t="shared" si="15"/>
        <v>25.1</v>
      </c>
    </row>
    <row r="263" spans="11:17" x14ac:dyDescent="0.3">
      <c r="K263">
        <v>252</v>
      </c>
      <c r="L263" s="6">
        <f t="shared" si="12"/>
        <v>1.4474958881240778E+24</v>
      </c>
      <c r="N263">
        <f t="shared" si="13"/>
        <v>11340</v>
      </c>
      <c r="O263">
        <f t="shared" si="14"/>
        <v>1.2764514004621497E+20</v>
      </c>
      <c r="Q263">
        <f t="shared" si="15"/>
        <v>25.200000000000003</v>
      </c>
    </row>
    <row r="264" spans="11:17" x14ac:dyDescent="0.3">
      <c r="K264">
        <v>253</v>
      </c>
      <c r="L264" s="6">
        <f t="shared" si="12"/>
        <v>1.7659449835113747E+24</v>
      </c>
      <c r="N264">
        <f t="shared" si="13"/>
        <v>11385</v>
      </c>
      <c r="O264">
        <f t="shared" si="14"/>
        <v>1.5511154883718706E+20</v>
      </c>
      <c r="Q264">
        <f t="shared" si="15"/>
        <v>25.3</v>
      </c>
    </row>
    <row r="265" spans="11:17" x14ac:dyDescent="0.3">
      <c r="K265">
        <v>254</v>
      </c>
      <c r="L265" s="6">
        <f t="shared" si="12"/>
        <v>2.1544528798838769E+24</v>
      </c>
      <c r="N265">
        <f t="shared" si="13"/>
        <v>11430</v>
      </c>
      <c r="O265">
        <f t="shared" si="14"/>
        <v>1.884910656066384E+20</v>
      </c>
      <c r="Q265">
        <f t="shared" si="15"/>
        <v>25.400000000000002</v>
      </c>
    </row>
    <row r="266" spans="11:17" x14ac:dyDescent="0.3">
      <c r="K266">
        <v>255</v>
      </c>
      <c r="L266" s="6">
        <f t="shared" si="12"/>
        <v>2.6284325134583302E+24</v>
      </c>
      <c r="N266">
        <f t="shared" si="13"/>
        <v>11475</v>
      </c>
      <c r="O266">
        <f t="shared" si="14"/>
        <v>2.2905729964778478E+20</v>
      </c>
      <c r="Q266">
        <f t="shared" si="15"/>
        <v>25.5</v>
      </c>
    </row>
    <row r="267" spans="11:17" x14ac:dyDescent="0.3">
      <c r="K267">
        <v>256</v>
      </c>
      <c r="L267" s="6">
        <f t="shared" ref="L267:L330" si="16">$I$6*($I$7^K267)</f>
        <v>3.2066876664191623E+24</v>
      </c>
      <c r="N267">
        <f t="shared" ref="N267:N331" si="17">K267*$I$8*$B$4</f>
        <v>11520</v>
      </c>
      <c r="O267">
        <f t="shared" ref="O267:O330" si="18">L267/N267</f>
        <v>2.7835830437666341E+20</v>
      </c>
      <c r="Q267">
        <f t="shared" ref="Q267:Q331" si="19">K267*$I$11*$B$5</f>
        <v>25.6</v>
      </c>
    </row>
    <row r="268" spans="11:17" x14ac:dyDescent="0.3">
      <c r="K268">
        <v>257</v>
      </c>
      <c r="L268" s="6">
        <f t="shared" si="16"/>
        <v>3.9121589530313776E+24</v>
      </c>
      <c r="N268">
        <f t="shared" si="17"/>
        <v>11565</v>
      </c>
      <c r="O268">
        <f t="shared" si="18"/>
        <v>3.3827574172342216E+20</v>
      </c>
      <c r="Q268">
        <f t="shared" si="19"/>
        <v>25.700000000000003</v>
      </c>
    </row>
    <row r="269" spans="11:17" x14ac:dyDescent="0.3">
      <c r="K269">
        <v>258</v>
      </c>
      <c r="L269" s="6">
        <f t="shared" si="16"/>
        <v>4.7728339226982812E+24</v>
      </c>
      <c r="N269">
        <f t="shared" si="17"/>
        <v>11610</v>
      </c>
      <c r="O269">
        <f t="shared" si="18"/>
        <v>4.1109680643396049E+20</v>
      </c>
      <c r="Q269">
        <f t="shared" si="19"/>
        <v>25.8</v>
      </c>
    </row>
    <row r="270" spans="11:17" x14ac:dyDescent="0.3">
      <c r="K270">
        <v>259</v>
      </c>
      <c r="L270" s="6">
        <f t="shared" si="16"/>
        <v>5.8228573856919025E+24</v>
      </c>
      <c r="N270">
        <f t="shared" si="17"/>
        <v>11655</v>
      </c>
      <c r="O270">
        <f t="shared" si="18"/>
        <v>4.9960166329402851E+20</v>
      </c>
      <c r="Q270">
        <f t="shared" si="19"/>
        <v>25.900000000000002</v>
      </c>
    </row>
    <row r="271" spans="11:17" x14ac:dyDescent="0.3">
      <c r="K271">
        <v>260</v>
      </c>
      <c r="L271" s="6">
        <f t="shared" si="16"/>
        <v>7.1038860105441198E+24</v>
      </c>
      <c r="N271">
        <f t="shared" si="17"/>
        <v>11700</v>
      </c>
      <c r="O271">
        <f t="shared" si="18"/>
        <v>6.0716974449095043E+20</v>
      </c>
      <c r="Q271">
        <f t="shared" si="19"/>
        <v>26</v>
      </c>
    </row>
    <row r="272" spans="11:17" x14ac:dyDescent="0.3">
      <c r="K272">
        <v>261</v>
      </c>
      <c r="L272" s="6">
        <f t="shared" si="16"/>
        <v>8.6667409328638276E+24</v>
      </c>
      <c r="N272">
        <f t="shared" si="17"/>
        <v>11745</v>
      </c>
      <c r="O272">
        <f t="shared" si="18"/>
        <v>7.3790897682961492E+20</v>
      </c>
      <c r="Q272">
        <f t="shared" si="19"/>
        <v>26.1</v>
      </c>
    </row>
    <row r="273" spans="11:17" x14ac:dyDescent="0.3">
      <c r="K273">
        <v>262</v>
      </c>
      <c r="L273" s="6">
        <f t="shared" si="16"/>
        <v>1.0573423938093869E+25</v>
      </c>
      <c r="N273">
        <f t="shared" si="17"/>
        <v>11790</v>
      </c>
      <c r="O273">
        <f t="shared" si="18"/>
        <v>8.9681288703086245E+20</v>
      </c>
      <c r="Q273">
        <f t="shared" si="19"/>
        <v>26.200000000000003</v>
      </c>
    </row>
    <row r="274" spans="11:17" x14ac:dyDescent="0.3">
      <c r="K274">
        <v>263</v>
      </c>
      <c r="L274" s="6">
        <f t="shared" si="16"/>
        <v>1.2899577204474519E+25</v>
      </c>
      <c r="N274">
        <f t="shared" si="17"/>
        <v>11835</v>
      </c>
      <c r="O274">
        <f t="shared" si="18"/>
        <v>1.0899516015610072E+21</v>
      </c>
      <c r="Q274">
        <f t="shared" si="19"/>
        <v>26.3</v>
      </c>
    </row>
    <row r="275" spans="11:17" x14ac:dyDescent="0.3">
      <c r="K275">
        <v>264</v>
      </c>
      <c r="L275" s="6">
        <f t="shared" si="16"/>
        <v>1.5737484189458911E+25</v>
      </c>
      <c r="N275">
        <f t="shared" si="17"/>
        <v>11880</v>
      </c>
      <c r="O275">
        <f t="shared" si="18"/>
        <v>1.3247040563517601E+21</v>
      </c>
      <c r="Q275">
        <f t="shared" si="19"/>
        <v>26.400000000000002</v>
      </c>
    </row>
    <row r="276" spans="11:17" x14ac:dyDescent="0.3">
      <c r="K276">
        <v>265</v>
      </c>
      <c r="L276" s="6">
        <f t="shared" si="16"/>
        <v>1.919973071113987E+25</v>
      </c>
      <c r="N276">
        <f t="shared" si="17"/>
        <v>11925</v>
      </c>
      <c r="O276">
        <f t="shared" si="18"/>
        <v>1.6100403112066978E+21</v>
      </c>
      <c r="Q276">
        <f t="shared" si="19"/>
        <v>26.5</v>
      </c>
    </row>
    <row r="277" spans="11:17" x14ac:dyDescent="0.3">
      <c r="K277">
        <v>266</v>
      </c>
      <c r="L277" s="6">
        <f t="shared" si="16"/>
        <v>2.3423671467590641E+25</v>
      </c>
      <c r="N277">
        <f t="shared" si="17"/>
        <v>11970</v>
      </c>
      <c r="O277">
        <f t="shared" si="18"/>
        <v>1.9568647842598698E+21</v>
      </c>
      <c r="Q277">
        <f t="shared" si="19"/>
        <v>26.6</v>
      </c>
    </row>
    <row r="278" spans="11:17" x14ac:dyDescent="0.3">
      <c r="K278">
        <v>267</v>
      </c>
      <c r="L278" s="6">
        <f t="shared" si="16"/>
        <v>2.8576879190460581E+25</v>
      </c>
      <c r="N278">
        <f t="shared" si="17"/>
        <v>12015</v>
      </c>
      <c r="O278">
        <f t="shared" si="18"/>
        <v>2.3784335572584754E+21</v>
      </c>
      <c r="Q278">
        <f t="shared" si="19"/>
        <v>26.700000000000003</v>
      </c>
    </row>
    <row r="279" spans="11:17" x14ac:dyDescent="0.3">
      <c r="K279">
        <v>268</v>
      </c>
      <c r="L279" s="6">
        <f t="shared" si="16"/>
        <v>3.4863792612361908E+25</v>
      </c>
      <c r="N279">
        <f t="shared" si="17"/>
        <v>12060</v>
      </c>
      <c r="O279">
        <f t="shared" si="18"/>
        <v>2.8908617423185662E+21</v>
      </c>
      <c r="Q279">
        <f t="shared" si="19"/>
        <v>26.8</v>
      </c>
    </row>
    <row r="280" spans="11:17" x14ac:dyDescent="0.3">
      <c r="K280">
        <v>269</v>
      </c>
      <c r="L280" s="6">
        <f t="shared" si="16"/>
        <v>4.2533826987081526E+25</v>
      </c>
      <c r="N280">
        <f t="shared" si="17"/>
        <v>12105</v>
      </c>
      <c r="O280">
        <f t="shared" si="18"/>
        <v>3.513740354157912E+21</v>
      </c>
      <c r="Q280">
        <f t="shared" si="19"/>
        <v>26.900000000000002</v>
      </c>
    </row>
    <row r="281" spans="11:17" x14ac:dyDescent="0.3">
      <c r="K281">
        <v>270</v>
      </c>
      <c r="L281" s="6">
        <f t="shared" si="16"/>
        <v>5.1891268924239458E+25</v>
      </c>
      <c r="N281">
        <f t="shared" si="17"/>
        <v>12150</v>
      </c>
      <c r="O281">
        <f t="shared" si="18"/>
        <v>4.2708863312131239E+21</v>
      </c>
      <c r="Q281">
        <f t="shared" si="19"/>
        <v>27</v>
      </c>
    </row>
    <row r="282" spans="11:17" x14ac:dyDescent="0.3">
      <c r="K282">
        <v>271</v>
      </c>
      <c r="L282" s="6">
        <f t="shared" si="16"/>
        <v>6.3307348087572141E+25</v>
      </c>
      <c r="N282">
        <f t="shared" si="17"/>
        <v>12195</v>
      </c>
      <c r="O282">
        <f t="shared" si="18"/>
        <v>5.1912544557254731E+21</v>
      </c>
      <c r="Q282">
        <f t="shared" si="19"/>
        <v>27.1</v>
      </c>
    </row>
    <row r="283" spans="11:17" x14ac:dyDescent="0.3">
      <c r="K283">
        <v>272</v>
      </c>
      <c r="L283" s="6">
        <f t="shared" si="16"/>
        <v>7.7234964666838E+25</v>
      </c>
      <c r="N283">
        <f t="shared" si="17"/>
        <v>12240</v>
      </c>
      <c r="O283">
        <f t="shared" si="18"/>
        <v>6.3100461329116016E+21</v>
      </c>
      <c r="Q283">
        <f t="shared" si="19"/>
        <v>27.200000000000003</v>
      </c>
    </row>
    <row r="284" spans="11:17" x14ac:dyDescent="0.3">
      <c r="K284">
        <v>273</v>
      </c>
      <c r="L284" s="6">
        <f t="shared" si="16"/>
        <v>9.4226656893542345E+25</v>
      </c>
      <c r="N284">
        <f t="shared" si="17"/>
        <v>12285</v>
      </c>
      <c r="O284">
        <f t="shared" si="18"/>
        <v>7.6700575411918885E+21</v>
      </c>
      <c r="Q284">
        <f t="shared" si="19"/>
        <v>27.3</v>
      </c>
    </row>
    <row r="285" spans="11:17" x14ac:dyDescent="0.3">
      <c r="K285">
        <v>274</v>
      </c>
      <c r="L285" s="6">
        <f t="shared" si="16"/>
        <v>1.1495652141012167E+26</v>
      </c>
      <c r="N285">
        <f t="shared" si="17"/>
        <v>12330</v>
      </c>
      <c r="O285">
        <f t="shared" si="18"/>
        <v>9.3233188491582861E+21</v>
      </c>
      <c r="Q285">
        <f t="shared" si="19"/>
        <v>27.400000000000002</v>
      </c>
    </row>
    <row r="286" spans="11:17" x14ac:dyDescent="0.3">
      <c r="K286">
        <v>275</v>
      </c>
      <c r="L286" s="6">
        <f t="shared" si="16"/>
        <v>1.4024695612034845E+26</v>
      </c>
      <c r="N286">
        <f t="shared" si="17"/>
        <v>12375</v>
      </c>
      <c r="O286">
        <f t="shared" si="18"/>
        <v>1.1333087363260482E+22</v>
      </c>
      <c r="Q286">
        <f t="shared" si="19"/>
        <v>27.5</v>
      </c>
    </row>
    <row r="287" spans="11:17" x14ac:dyDescent="0.3">
      <c r="K287">
        <v>276</v>
      </c>
      <c r="L287" s="6">
        <f t="shared" si="16"/>
        <v>1.7110128646682508E+26</v>
      </c>
      <c r="N287">
        <f t="shared" si="17"/>
        <v>12420</v>
      </c>
      <c r="O287">
        <f t="shared" si="18"/>
        <v>1.3776271052079314E+22</v>
      </c>
      <c r="Q287">
        <f t="shared" si="19"/>
        <v>27.6</v>
      </c>
    </row>
    <row r="288" spans="11:17" x14ac:dyDescent="0.3">
      <c r="K288">
        <v>277</v>
      </c>
      <c r="L288" s="6">
        <f t="shared" si="16"/>
        <v>2.0874356948952658E+26</v>
      </c>
      <c r="N288">
        <f t="shared" si="17"/>
        <v>12465</v>
      </c>
      <c r="O288">
        <f t="shared" si="18"/>
        <v>1.6746375410310997E+22</v>
      </c>
      <c r="Q288">
        <f t="shared" si="19"/>
        <v>27.700000000000003</v>
      </c>
    </row>
    <row r="289" spans="11:17" x14ac:dyDescent="0.3">
      <c r="K289">
        <v>278</v>
      </c>
      <c r="L289" s="6">
        <f t="shared" si="16"/>
        <v>2.5466715477722242E+26</v>
      </c>
      <c r="N289">
        <f t="shared" si="17"/>
        <v>12510</v>
      </c>
      <c r="O289">
        <f t="shared" si="18"/>
        <v>2.0357086712807547E+22</v>
      </c>
      <c r="Q289">
        <f t="shared" si="19"/>
        <v>27.8</v>
      </c>
    </row>
    <row r="290" spans="11:17" x14ac:dyDescent="0.3">
      <c r="K290">
        <v>279</v>
      </c>
      <c r="L290" s="6">
        <f t="shared" si="16"/>
        <v>3.1069392882821138E+26</v>
      </c>
      <c r="N290">
        <f t="shared" si="17"/>
        <v>12555</v>
      </c>
      <c r="O290">
        <f t="shared" si="18"/>
        <v>2.4746629138049491E+22</v>
      </c>
      <c r="Q290">
        <f t="shared" si="19"/>
        <v>27.900000000000002</v>
      </c>
    </row>
    <row r="291" spans="11:17" x14ac:dyDescent="0.3">
      <c r="K291">
        <v>280</v>
      </c>
      <c r="L291" s="6">
        <f t="shared" si="16"/>
        <v>3.7904659317041783E+26</v>
      </c>
      <c r="N291">
        <f t="shared" si="17"/>
        <v>12600</v>
      </c>
      <c r="O291">
        <f t="shared" si="18"/>
        <v>3.008306295003316E+22</v>
      </c>
      <c r="Q291">
        <f t="shared" si="19"/>
        <v>28</v>
      </c>
    </row>
    <row r="292" spans="11:17" x14ac:dyDescent="0.3">
      <c r="K292">
        <v>281</v>
      </c>
      <c r="L292" s="6">
        <f t="shared" si="16"/>
        <v>4.6243684366790975E+26</v>
      </c>
      <c r="N292">
        <f t="shared" si="17"/>
        <v>12645</v>
      </c>
      <c r="O292">
        <f t="shared" si="18"/>
        <v>3.657072705954209E+22</v>
      </c>
      <c r="Q292">
        <f t="shared" si="19"/>
        <v>28.1</v>
      </c>
    </row>
    <row r="293" spans="11:17" x14ac:dyDescent="0.3">
      <c r="K293">
        <v>282</v>
      </c>
      <c r="L293" s="6">
        <f t="shared" si="16"/>
        <v>5.6417294927484985E+26</v>
      </c>
      <c r="N293">
        <f t="shared" si="17"/>
        <v>12690</v>
      </c>
      <c r="O293">
        <f t="shared" si="18"/>
        <v>4.4458073228908578E+22</v>
      </c>
      <c r="Q293">
        <f t="shared" si="19"/>
        <v>28.200000000000003</v>
      </c>
    </row>
    <row r="294" spans="11:17" x14ac:dyDescent="0.3">
      <c r="K294">
        <v>283</v>
      </c>
      <c r="L294" s="6">
        <f t="shared" si="16"/>
        <v>6.8829099811531676E+26</v>
      </c>
      <c r="N294">
        <f t="shared" si="17"/>
        <v>12735</v>
      </c>
      <c r="O294">
        <f t="shared" si="18"/>
        <v>5.4047192627822281E+22</v>
      </c>
      <c r="Q294">
        <f t="shared" si="19"/>
        <v>28.3</v>
      </c>
    </row>
    <row r="295" spans="11:17" x14ac:dyDescent="0.3">
      <c r="K295">
        <v>284</v>
      </c>
      <c r="L295" s="6">
        <f t="shared" si="16"/>
        <v>8.3971501770068634E+26</v>
      </c>
      <c r="N295">
        <f t="shared" si="17"/>
        <v>12780</v>
      </c>
      <c r="O295">
        <f t="shared" si="18"/>
        <v>6.5705400446063095E+22</v>
      </c>
      <c r="Q295">
        <f t="shared" si="19"/>
        <v>28.400000000000002</v>
      </c>
    </row>
    <row r="296" spans="11:17" x14ac:dyDescent="0.3">
      <c r="K296">
        <v>285</v>
      </c>
      <c r="L296" s="6">
        <f t="shared" si="16"/>
        <v>1.0244523215948374E+27</v>
      </c>
      <c r="N296">
        <f t="shared" si="17"/>
        <v>12825</v>
      </c>
      <c r="O296">
        <f t="shared" si="18"/>
        <v>7.9879323321234878E+22</v>
      </c>
      <c r="Q296">
        <f t="shared" si="19"/>
        <v>28.5</v>
      </c>
    </row>
    <row r="297" spans="11:17" x14ac:dyDescent="0.3">
      <c r="K297">
        <v>286</v>
      </c>
      <c r="L297" s="6">
        <f t="shared" si="16"/>
        <v>1.2498318323457015E+27</v>
      </c>
      <c r="N297">
        <f t="shared" si="17"/>
        <v>12870</v>
      </c>
      <c r="O297">
        <f t="shared" si="18"/>
        <v>9.7112030485291498E+22</v>
      </c>
      <c r="Q297">
        <f t="shared" si="19"/>
        <v>28.6</v>
      </c>
    </row>
    <row r="298" spans="11:17" x14ac:dyDescent="0.3">
      <c r="K298">
        <v>287</v>
      </c>
      <c r="L298" s="6">
        <f t="shared" si="16"/>
        <v>1.524794835461756E+27</v>
      </c>
      <c r="N298">
        <f t="shared" si="17"/>
        <v>12915</v>
      </c>
      <c r="O298">
        <f t="shared" si="18"/>
        <v>1.1806386647013211E+23</v>
      </c>
      <c r="Q298">
        <f t="shared" si="19"/>
        <v>28.700000000000003</v>
      </c>
    </row>
    <row r="299" spans="11:17" x14ac:dyDescent="0.3">
      <c r="K299">
        <v>288</v>
      </c>
      <c r="L299" s="6">
        <f t="shared" si="16"/>
        <v>1.8602496992633421E+27</v>
      </c>
      <c r="N299">
        <f t="shared" si="17"/>
        <v>12960</v>
      </c>
      <c r="O299">
        <f t="shared" si="18"/>
        <v>1.4353778543698627E+23</v>
      </c>
      <c r="Q299">
        <f t="shared" si="19"/>
        <v>28.8</v>
      </c>
    </row>
    <row r="300" spans="11:17" x14ac:dyDescent="0.3">
      <c r="K300">
        <v>289</v>
      </c>
      <c r="L300" s="6">
        <f t="shared" si="16"/>
        <v>2.2695046331012772E+27</v>
      </c>
      <c r="N300">
        <f t="shared" si="17"/>
        <v>13005</v>
      </c>
      <c r="O300">
        <f t="shared" si="18"/>
        <v>1.7451016017695326E+23</v>
      </c>
      <c r="Q300">
        <f t="shared" si="19"/>
        <v>28.900000000000002</v>
      </c>
    </row>
    <row r="301" spans="11:17" x14ac:dyDescent="0.3">
      <c r="K301">
        <v>290</v>
      </c>
      <c r="L301" s="6">
        <f t="shared" si="16"/>
        <v>2.7687956523835576E+27</v>
      </c>
      <c r="N301">
        <f t="shared" si="17"/>
        <v>13050</v>
      </c>
      <c r="O301">
        <f t="shared" si="18"/>
        <v>2.1216824922479367E+23</v>
      </c>
      <c r="Q301">
        <f t="shared" si="19"/>
        <v>29</v>
      </c>
    </row>
    <row r="302" spans="11:17" x14ac:dyDescent="0.3">
      <c r="K302">
        <v>291</v>
      </c>
      <c r="L302" s="6">
        <f t="shared" si="16"/>
        <v>3.3779306959079407E+27</v>
      </c>
      <c r="N302">
        <f t="shared" si="17"/>
        <v>13095</v>
      </c>
      <c r="O302">
        <f t="shared" si="18"/>
        <v>2.5795576142863235E+23</v>
      </c>
      <c r="Q302">
        <f t="shared" si="19"/>
        <v>29.1</v>
      </c>
    </row>
    <row r="303" spans="11:17" x14ac:dyDescent="0.3">
      <c r="K303">
        <v>292</v>
      </c>
      <c r="L303" s="6">
        <f t="shared" si="16"/>
        <v>4.1210754490076874E+27</v>
      </c>
      <c r="N303">
        <f t="shared" si="17"/>
        <v>13140</v>
      </c>
      <c r="O303">
        <f t="shared" si="18"/>
        <v>3.1362826856983924E+23</v>
      </c>
      <c r="Q303">
        <f t="shared" si="19"/>
        <v>29.200000000000003</v>
      </c>
    </row>
    <row r="304" spans="11:17" x14ac:dyDescent="0.3">
      <c r="K304">
        <v>293</v>
      </c>
      <c r="L304" s="6">
        <f t="shared" si="16"/>
        <v>5.0277120477893784E+27</v>
      </c>
      <c r="N304">
        <f t="shared" si="17"/>
        <v>13185</v>
      </c>
      <c r="O304">
        <f t="shared" si="18"/>
        <v>3.8132059520586868E+23</v>
      </c>
      <c r="Q304">
        <f t="shared" si="19"/>
        <v>29.3</v>
      </c>
    </row>
    <row r="305" spans="11:17" x14ac:dyDescent="0.3">
      <c r="K305">
        <v>294</v>
      </c>
      <c r="L305" s="6">
        <f t="shared" si="16"/>
        <v>6.1338086983030405E+27</v>
      </c>
      <c r="N305">
        <f t="shared" si="17"/>
        <v>13230</v>
      </c>
      <c r="O305">
        <f t="shared" si="18"/>
        <v>4.6362877538193806E+23</v>
      </c>
      <c r="Q305">
        <f t="shared" si="19"/>
        <v>29.400000000000002</v>
      </c>
    </row>
    <row r="306" spans="11:17" x14ac:dyDescent="0.3">
      <c r="K306">
        <v>295</v>
      </c>
      <c r="L306" s="6">
        <f t="shared" si="16"/>
        <v>7.4832466119297108E+27</v>
      </c>
      <c r="N306">
        <f t="shared" si="17"/>
        <v>13275</v>
      </c>
      <c r="O306">
        <f t="shared" si="18"/>
        <v>5.6370972594574093E+23</v>
      </c>
      <c r="Q306">
        <f t="shared" si="19"/>
        <v>29.5</v>
      </c>
    </row>
    <row r="307" spans="11:17" x14ac:dyDescent="0.3">
      <c r="K307">
        <v>296</v>
      </c>
      <c r="L307" s="6">
        <f t="shared" si="16"/>
        <v>9.1295608665542457E+27</v>
      </c>
      <c r="N307">
        <f t="shared" si="17"/>
        <v>13320</v>
      </c>
      <c r="O307">
        <f t="shared" si="18"/>
        <v>6.8540246745902739E+23</v>
      </c>
      <c r="Q307">
        <f t="shared" si="19"/>
        <v>29.6</v>
      </c>
    </row>
    <row r="308" spans="11:17" x14ac:dyDescent="0.3">
      <c r="K308">
        <v>297</v>
      </c>
      <c r="L308" s="6">
        <f t="shared" si="16"/>
        <v>1.1138064257196179E+28</v>
      </c>
      <c r="N308">
        <f t="shared" si="17"/>
        <v>13365</v>
      </c>
      <c r="O308">
        <f t="shared" si="18"/>
        <v>8.3337555235287535E+23</v>
      </c>
      <c r="Q308">
        <f t="shared" si="19"/>
        <v>29.700000000000003</v>
      </c>
    </row>
    <row r="309" spans="11:17" x14ac:dyDescent="0.3">
      <c r="K309">
        <v>298</v>
      </c>
      <c r="L309" s="6">
        <f t="shared" si="16"/>
        <v>1.3588438393779337E+28</v>
      </c>
      <c r="N309">
        <f t="shared" si="17"/>
        <v>13410</v>
      </c>
      <c r="O309">
        <f t="shared" si="18"/>
        <v>1.0133063679179222E+24</v>
      </c>
      <c r="Q309">
        <f t="shared" si="19"/>
        <v>29.8</v>
      </c>
    </row>
    <row r="310" spans="11:17" x14ac:dyDescent="0.3">
      <c r="K310">
        <v>299</v>
      </c>
      <c r="L310" s="6">
        <f t="shared" si="16"/>
        <v>1.6577894840410791E+28</v>
      </c>
      <c r="N310">
        <f t="shared" si="17"/>
        <v>13455</v>
      </c>
      <c r="O310">
        <f t="shared" si="18"/>
        <v>1.2320992077599994E+24</v>
      </c>
      <c r="Q310">
        <f t="shared" si="19"/>
        <v>29.900000000000002</v>
      </c>
    </row>
    <row r="311" spans="11:17" x14ac:dyDescent="0.3">
      <c r="K311">
        <v>300</v>
      </c>
      <c r="L311" s="6">
        <f t="shared" si="16"/>
        <v>2.0225031705301164E+28</v>
      </c>
      <c r="N311">
        <f t="shared" si="17"/>
        <v>13500</v>
      </c>
      <c r="O311">
        <f t="shared" si="18"/>
        <v>1.4981504966889751E+24</v>
      </c>
      <c r="Q311">
        <f t="shared" si="19"/>
        <v>30</v>
      </c>
    </row>
    <row r="312" spans="11:17" x14ac:dyDescent="0.3">
      <c r="K312">
        <v>301</v>
      </c>
      <c r="L312" s="6">
        <f t="shared" si="16"/>
        <v>2.4674538680467417E+28</v>
      </c>
      <c r="N312">
        <f t="shared" si="17"/>
        <v>13545</v>
      </c>
      <c r="O312">
        <f t="shared" si="18"/>
        <v>1.8216713680669928E+24</v>
      </c>
      <c r="Q312">
        <f t="shared" si="19"/>
        <v>30.1</v>
      </c>
    </row>
    <row r="313" spans="11:17" x14ac:dyDescent="0.3">
      <c r="K313">
        <v>302</v>
      </c>
      <c r="L313" s="6">
        <f t="shared" si="16"/>
        <v>3.0102937190170248E+28</v>
      </c>
      <c r="N313">
        <f t="shared" si="17"/>
        <v>13590</v>
      </c>
      <c r="O313">
        <f t="shared" si="18"/>
        <v>2.2150799992766922E+24</v>
      </c>
      <c r="Q313">
        <f t="shared" si="19"/>
        <v>30.200000000000003</v>
      </c>
    </row>
    <row r="314" spans="11:17" x14ac:dyDescent="0.3">
      <c r="K314">
        <v>303</v>
      </c>
      <c r="L314" s="6">
        <f t="shared" si="16"/>
        <v>3.6725583372007705E+28</v>
      </c>
      <c r="N314">
        <f t="shared" si="17"/>
        <v>13635</v>
      </c>
      <c r="O314">
        <f t="shared" si="18"/>
        <v>2.6934787951600813E+24</v>
      </c>
      <c r="Q314">
        <f t="shared" si="19"/>
        <v>30.3</v>
      </c>
    </row>
    <row r="315" spans="11:17" x14ac:dyDescent="0.3">
      <c r="K315">
        <v>304</v>
      </c>
      <c r="L315" s="6">
        <f t="shared" si="16"/>
        <v>4.4805211713849397E+28</v>
      </c>
      <c r="N315">
        <f t="shared" si="17"/>
        <v>13680</v>
      </c>
      <c r="O315">
        <f t="shared" si="18"/>
        <v>3.2752347744041957E+24</v>
      </c>
      <c r="Q315">
        <f t="shared" si="19"/>
        <v>30.400000000000002</v>
      </c>
    </row>
    <row r="316" spans="11:17" x14ac:dyDescent="0.3">
      <c r="K316">
        <v>305</v>
      </c>
      <c r="L316" s="6">
        <f t="shared" si="16"/>
        <v>5.4662358290896254E+28</v>
      </c>
      <c r="N316">
        <f t="shared" si="17"/>
        <v>13725</v>
      </c>
      <c r="O316">
        <f t="shared" si="18"/>
        <v>3.9826854856755015E+24</v>
      </c>
      <c r="Q316">
        <f t="shared" si="19"/>
        <v>30.5</v>
      </c>
    </row>
    <row r="317" spans="11:17" x14ac:dyDescent="0.3">
      <c r="K317">
        <v>306</v>
      </c>
      <c r="L317" s="6">
        <f t="shared" si="16"/>
        <v>6.6688077114893438E+28</v>
      </c>
      <c r="N317">
        <f t="shared" si="17"/>
        <v>13770</v>
      </c>
      <c r="O317">
        <f t="shared" si="18"/>
        <v>4.8429976118295883E+24</v>
      </c>
      <c r="Q317">
        <f t="shared" si="19"/>
        <v>30.6</v>
      </c>
    </row>
    <row r="318" spans="11:17" x14ac:dyDescent="0.3">
      <c r="K318">
        <v>307</v>
      </c>
      <c r="L318" s="6">
        <f t="shared" si="16"/>
        <v>8.1359454080169983E+28</v>
      </c>
      <c r="N318">
        <f t="shared" si="17"/>
        <v>13815</v>
      </c>
      <c r="O318">
        <f t="shared" si="18"/>
        <v>5.8892112978769437E+24</v>
      </c>
      <c r="Q318">
        <f t="shared" si="19"/>
        <v>30.700000000000003</v>
      </c>
    </row>
    <row r="319" spans="11:17" x14ac:dyDescent="0.3">
      <c r="K319">
        <v>308</v>
      </c>
      <c r="L319" s="6">
        <f t="shared" si="16"/>
        <v>9.9258533977807376E+28</v>
      </c>
      <c r="N319">
        <f t="shared" si="17"/>
        <v>13860</v>
      </c>
      <c r="O319">
        <f t="shared" si="18"/>
        <v>7.1615103880091907E+24</v>
      </c>
      <c r="Q319">
        <f t="shared" si="19"/>
        <v>30.8</v>
      </c>
    </row>
    <row r="320" spans="11:17" x14ac:dyDescent="0.3">
      <c r="K320">
        <v>309</v>
      </c>
      <c r="L320" s="6">
        <f t="shared" si="16"/>
        <v>1.2109541145292499E+29</v>
      </c>
      <c r="N320">
        <f t="shared" si="17"/>
        <v>13905</v>
      </c>
      <c r="O320">
        <f t="shared" si="18"/>
        <v>8.7087674543635369E+24</v>
      </c>
      <c r="Q320">
        <f t="shared" si="19"/>
        <v>30.900000000000002</v>
      </c>
    </row>
    <row r="321" spans="11:17" x14ac:dyDescent="0.3">
      <c r="K321">
        <v>310</v>
      </c>
      <c r="L321" s="6">
        <f t="shared" si="16"/>
        <v>1.4773640197256849E+29</v>
      </c>
      <c r="N321">
        <f t="shared" si="17"/>
        <v>13950</v>
      </c>
      <c r="O321">
        <f t="shared" si="18"/>
        <v>1.059042308047086E+25</v>
      </c>
      <c r="Q321">
        <f t="shared" si="19"/>
        <v>31</v>
      </c>
    </row>
    <row r="322" spans="11:17" x14ac:dyDescent="0.3">
      <c r="K322">
        <v>311</v>
      </c>
      <c r="L322" s="6">
        <f t="shared" si="16"/>
        <v>1.8023841040653357E+29</v>
      </c>
      <c r="N322">
        <f t="shared" si="17"/>
        <v>13995</v>
      </c>
      <c r="O322">
        <f t="shared" si="18"/>
        <v>1.287877173322855E+25</v>
      </c>
      <c r="Q322">
        <f t="shared" si="19"/>
        <v>31.1</v>
      </c>
    </row>
    <row r="323" spans="11:17" x14ac:dyDescent="0.3">
      <c r="K323">
        <v>312</v>
      </c>
      <c r="L323" s="6">
        <f t="shared" si="16"/>
        <v>2.1989086069597093E+29</v>
      </c>
      <c r="N323">
        <f t="shared" si="17"/>
        <v>14040</v>
      </c>
      <c r="O323">
        <f t="shared" si="18"/>
        <v>1.5661742214812745E+25</v>
      </c>
      <c r="Q323">
        <f t="shared" si="19"/>
        <v>31.200000000000003</v>
      </c>
    </row>
    <row r="324" spans="11:17" x14ac:dyDescent="0.3">
      <c r="K324">
        <v>313</v>
      </c>
      <c r="L324" s="6">
        <f t="shared" si="16"/>
        <v>2.6826685004908451E+29</v>
      </c>
      <c r="N324">
        <f t="shared" si="17"/>
        <v>14085</v>
      </c>
      <c r="O324">
        <f t="shared" si="18"/>
        <v>1.9046279733694321E+25</v>
      </c>
      <c r="Q324">
        <f t="shared" si="19"/>
        <v>31.3</v>
      </c>
    </row>
    <row r="325" spans="11:17" x14ac:dyDescent="0.3">
      <c r="K325">
        <v>314</v>
      </c>
      <c r="L325" s="6">
        <f t="shared" si="16"/>
        <v>3.2728555705988316E+29</v>
      </c>
      <c r="N325">
        <f t="shared" si="17"/>
        <v>14130</v>
      </c>
      <c r="O325">
        <f t="shared" si="18"/>
        <v>2.3162459806078073E+25</v>
      </c>
      <c r="Q325">
        <f t="shared" si="19"/>
        <v>31.400000000000002</v>
      </c>
    </row>
    <row r="326" spans="11:17" x14ac:dyDescent="0.3">
      <c r="K326">
        <v>315</v>
      </c>
      <c r="L326" s="6">
        <f t="shared" si="16"/>
        <v>3.9928837961305737E+29</v>
      </c>
      <c r="N326">
        <f t="shared" si="17"/>
        <v>14175</v>
      </c>
      <c r="O326">
        <f t="shared" si="18"/>
        <v>2.8168492388928211E+25</v>
      </c>
      <c r="Q326">
        <f t="shared" si="19"/>
        <v>31.5</v>
      </c>
    </row>
    <row r="327" spans="11:17" x14ac:dyDescent="0.3">
      <c r="K327">
        <v>316</v>
      </c>
      <c r="L327" s="6">
        <f t="shared" si="16"/>
        <v>4.8713182312792996E+29</v>
      </c>
      <c r="N327">
        <f t="shared" si="17"/>
        <v>14220</v>
      </c>
      <c r="O327">
        <f t="shared" si="18"/>
        <v>3.4256808940079464E+25</v>
      </c>
      <c r="Q327">
        <f t="shared" si="19"/>
        <v>31.6</v>
      </c>
    </row>
    <row r="328" spans="11:17" x14ac:dyDescent="0.3">
      <c r="K328">
        <v>317</v>
      </c>
      <c r="L328" s="6">
        <f t="shared" si="16"/>
        <v>5.9430082421607447E+29</v>
      </c>
      <c r="N328">
        <f t="shared" si="17"/>
        <v>14265</v>
      </c>
      <c r="O328">
        <f t="shared" si="18"/>
        <v>4.1661466822017135E+25</v>
      </c>
      <c r="Q328">
        <f t="shared" si="19"/>
        <v>31.700000000000003</v>
      </c>
    </row>
    <row r="329" spans="11:17" x14ac:dyDescent="0.3">
      <c r="K329">
        <v>318</v>
      </c>
      <c r="L329" s="6">
        <f t="shared" si="16"/>
        <v>7.2504700554361088E+29</v>
      </c>
      <c r="N329">
        <f t="shared" si="17"/>
        <v>14310</v>
      </c>
      <c r="O329">
        <f t="shared" si="18"/>
        <v>5.0667156222474554E+25</v>
      </c>
      <c r="Q329">
        <f t="shared" si="19"/>
        <v>31.8</v>
      </c>
    </row>
    <row r="330" spans="11:17" x14ac:dyDescent="0.3">
      <c r="K330">
        <v>319</v>
      </c>
      <c r="L330" s="6">
        <f t="shared" si="16"/>
        <v>8.8455734676320531E+29</v>
      </c>
      <c r="N330">
        <f t="shared" si="17"/>
        <v>14355</v>
      </c>
      <c r="O330">
        <f t="shared" si="18"/>
        <v>6.1620156514329873E+25</v>
      </c>
      <c r="Q330">
        <f t="shared" si="19"/>
        <v>31.900000000000002</v>
      </c>
    </row>
    <row r="331" spans="11:17" x14ac:dyDescent="0.3">
      <c r="K331">
        <v>320</v>
      </c>
      <c r="L331" s="6">
        <f t="shared" ref="L331:L394" si="20">$I$6*($I$7^K331)</f>
        <v>1.0791599630511102E+30</v>
      </c>
      <c r="N331">
        <f t="shared" si="17"/>
        <v>14400</v>
      </c>
      <c r="O331">
        <f t="shared" ref="O331:O394" si="21">L331/N331</f>
        <v>7.4941664100771546E+25</v>
      </c>
      <c r="Q331">
        <f t="shared" si="19"/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F331"/>
  <sheetViews>
    <sheetView topLeftCell="G1" workbookViewId="0">
      <selection activeCell="L3" sqref="L3"/>
    </sheetView>
  </sheetViews>
  <sheetFormatPr defaultRowHeight="14.4" x14ac:dyDescent="0.3"/>
  <cols>
    <col min="8" max="8" width="25" customWidth="1"/>
    <col min="9" max="9" width="16.5546875" customWidth="1"/>
    <col min="11" max="11" width="9.77734375" style="5" customWidth="1"/>
    <col min="12" max="12" width="37" style="9" customWidth="1"/>
    <col min="13" max="13" width="35.5546875" style="9" customWidth="1"/>
    <col min="14" max="14" width="26.21875" style="13" customWidth="1"/>
    <col min="15" max="15" width="24.33203125" style="5" customWidth="1"/>
    <col min="17" max="18" width="17.21875" style="5" customWidth="1"/>
  </cols>
  <sheetData>
    <row r="2" spans="1:32" x14ac:dyDescent="0.3">
      <c r="A2" s="22" t="s">
        <v>181</v>
      </c>
      <c r="H2" s="4"/>
    </row>
    <row r="3" spans="1:32" x14ac:dyDescent="0.3">
      <c r="A3" t="s">
        <v>182</v>
      </c>
      <c r="B3" s="20">
        <f>'Balance Controls'!B6</f>
        <v>10</v>
      </c>
      <c r="H3" s="4"/>
      <c r="I3" t="s">
        <v>197</v>
      </c>
    </row>
    <row r="4" spans="1:32" x14ac:dyDescent="0.3">
      <c r="A4" t="s">
        <v>183</v>
      </c>
      <c r="B4" s="20">
        <f>'Balance Controls'!H6</f>
        <v>1</v>
      </c>
      <c r="H4" s="4"/>
    </row>
    <row r="5" spans="1:32" x14ac:dyDescent="0.3">
      <c r="A5" t="s">
        <v>184</v>
      </c>
      <c r="B5" s="20">
        <f>'Balance Controls'!I6</f>
        <v>1</v>
      </c>
      <c r="H5" s="4" t="s">
        <v>185</v>
      </c>
    </row>
    <row r="6" spans="1:32" x14ac:dyDescent="0.3">
      <c r="A6" t="s">
        <v>186</v>
      </c>
      <c r="B6" s="20">
        <f>'Balance Controls'!J6</f>
        <v>1</v>
      </c>
      <c r="H6" s="4" t="s">
        <v>3</v>
      </c>
      <c r="I6">
        <v>1000</v>
      </c>
    </row>
    <row r="7" spans="1:32" x14ac:dyDescent="0.3">
      <c r="A7" t="s">
        <v>187</v>
      </c>
      <c r="B7" s="20">
        <f>'Balance Controls'!K6</f>
        <v>1</v>
      </c>
      <c r="H7" s="4" t="s">
        <v>188</v>
      </c>
      <c r="I7">
        <v>1.22</v>
      </c>
    </row>
    <row r="8" spans="1:32" x14ac:dyDescent="0.3">
      <c r="A8" t="s">
        <v>189</v>
      </c>
      <c r="B8" s="20">
        <f>'Balance Controls'!L6</f>
        <v>1</v>
      </c>
      <c r="H8" s="4" t="s">
        <v>190</v>
      </c>
      <c r="I8">
        <v>25</v>
      </c>
      <c r="N8" s="13" t="s">
        <v>201</v>
      </c>
    </row>
    <row r="9" spans="1:32" x14ac:dyDescent="0.3">
      <c r="A9" t="s">
        <v>191</v>
      </c>
      <c r="B9" s="20">
        <f>'Balance Controls'!M6</f>
        <v>1</v>
      </c>
      <c r="H9" s="4"/>
    </row>
    <row r="10" spans="1:32" x14ac:dyDescent="0.3">
      <c r="A10" t="s">
        <v>192</v>
      </c>
      <c r="B10" s="20">
        <f>'Balance Controls'!N6</f>
        <v>1</v>
      </c>
      <c r="H10" s="4" t="s">
        <v>198</v>
      </c>
      <c r="I10">
        <v>-100</v>
      </c>
      <c r="K10" s="1" t="s">
        <v>23</v>
      </c>
      <c r="L10" s="10" t="s">
        <v>193</v>
      </c>
      <c r="M10" s="10" t="s">
        <v>194</v>
      </c>
      <c r="N10" s="14" t="s">
        <v>195</v>
      </c>
      <c r="O10" s="1" t="s">
        <v>196</v>
      </c>
      <c r="P10" s="7"/>
      <c r="Q10" s="1" t="s">
        <v>199</v>
      </c>
      <c r="R10" s="1" t="s">
        <v>199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8"/>
    </row>
    <row r="11" spans="1:32" x14ac:dyDescent="0.3">
      <c r="H11" s="4" t="s">
        <v>200</v>
      </c>
      <c r="I11">
        <v>-0.5</v>
      </c>
      <c r="K11" s="5">
        <v>0</v>
      </c>
      <c r="L11" s="11">
        <f t="shared" ref="L11:L74" si="0">$I$6*($I$7^K11)</f>
        <v>1000</v>
      </c>
      <c r="M11" s="9">
        <v>0</v>
      </c>
      <c r="N11" s="13">
        <f t="shared" ref="N11:N74" si="1">K11*$I$8</f>
        <v>0</v>
      </c>
      <c r="O11" s="5" t="e">
        <f t="shared" ref="O11:O74" si="2">L11/N11</f>
        <v>#DIV/0!</v>
      </c>
      <c r="Q11" s="5">
        <f t="shared" ref="Q11:Q74" si="3">K11*$I$11*$B$8</f>
        <v>0</v>
      </c>
      <c r="R11" s="16">
        <f t="shared" ref="R11:R74" si="4">K11*$I$12</f>
        <v>0</v>
      </c>
    </row>
    <row r="12" spans="1:32" x14ac:dyDescent="0.3">
      <c r="H12" s="4" t="s">
        <v>202</v>
      </c>
      <c r="I12">
        <v>5.0000000000000001E-4</v>
      </c>
      <c r="K12" s="5">
        <v>1</v>
      </c>
      <c r="L12" s="11">
        <f t="shared" si="0"/>
        <v>1220</v>
      </c>
      <c r="M12" s="12">
        <f t="shared" ref="M12:M75" si="5">M11+L11</f>
        <v>1000</v>
      </c>
      <c r="N12" s="13">
        <f t="shared" si="1"/>
        <v>25</v>
      </c>
      <c r="O12" s="5">
        <f t="shared" si="2"/>
        <v>48.8</v>
      </c>
      <c r="Q12" s="5">
        <f t="shared" si="3"/>
        <v>-0.5</v>
      </c>
      <c r="R12" s="16">
        <f t="shared" si="4"/>
        <v>5.0000000000000001E-4</v>
      </c>
    </row>
    <row r="13" spans="1:32" x14ac:dyDescent="0.3">
      <c r="H13" s="4"/>
      <c r="K13" s="5">
        <v>2</v>
      </c>
      <c r="L13" s="11">
        <f t="shared" si="0"/>
        <v>1488.3999999999999</v>
      </c>
      <c r="M13" s="12">
        <f t="shared" si="5"/>
        <v>2220</v>
      </c>
      <c r="N13" s="13">
        <f t="shared" si="1"/>
        <v>50</v>
      </c>
      <c r="O13" s="17">
        <f t="shared" si="2"/>
        <v>29.767999999999997</v>
      </c>
      <c r="Q13" s="5">
        <f t="shared" si="3"/>
        <v>-1</v>
      </c>
      <c r="R13" s="16">
        <f t="shared" si="4"/>
        <v>1E-3</v>
      </c>
    </row>
    <row r="14" spans="1:32" x14ac:dyDescent="0.3">
      <c r="H14" s="4"/>
      <c r="K14" s="5">
        <v>3</v>
      </c>
      <c r="L14" s="11">
        <f t="shared" si="0"/>
        <v>1815.848</v>
      </c>
      <c r="M14" s="11">
        <f t="shared" si="5"/>
        <v>3708.3999999999996</v>
      </c>
      <c r="N14" s="13">
        <f t="shared" si="1"/>
        <v>75</v>
      </c>
      <c r="O14" s="17">
        <f t="shared" si="2"/>
        <v>24.211306666666665</v>
      </c>
      <c r="Q14" s="5">
        <f t="shared" si="3"/>
        <v>-1.5</v>
      </c>
      <c r="R14" s="16">
        <f t="shared" si="4"/>
        <v>1.5E-3</v>
      </c>
    </row>
    <row r="15" spans="1:32" x14ac:dyDescent="0.3">
      <c r="H15" s="4"/>
      <c r="K15" s="5">
        <v>4</v>
      </c>
      <c r="L15" s="11">
        <f t="shared" si="0"/>
        <v>2215.3345599999998</v>
      </c>
      <c r="M15" s="11">
        <f t="shared" si="5"/>
        <v>5524.2479999999996</v>
      </c>
      <c r="N15" s="13">
        <f t="shared" si="1"/>
        <v>100</v>
      </c>
      <c r="O15" s="17">
        <f t="shared" si="2"/>
        <v>22.153345599999998</v>
      </c>
      <c r="Q15" s="5">
        <f t="shared" si="3"/>
        <v>-2</v>
      </c>
      <c r="R15" s="16">
        <f t="shared" si="4"/>
        <v>2E-3</v>
      </c>
    </row>
    <row r="16" spans="1:32" x14ac:dyDescent="0.3">
      <c r="H16" s="4"/>
      <c r="K16" s="5">
        <v>5</v>
      </c>
      <c r="L16" s="11">
        <f t="shared" si="0"/>
        <v>2702.7081631999995</v>
      </c>
      <c r="M16" s="11">
        <f t="shared" si="5"/>
        <v>7739.5825599999989</v>
      </c>
      <c r="N16" s="13">
        <f t="shared" si="1"/>
        <v>125</v>
      </c>
      <c r="O16" s="17">
        <f t="shared" si="2"/>
        <v>21.621665305599997</v>
      </c>
      <c r="Q16" s="5">
        <f t="shared" si="3"/>
        <v>-2.5</v>
      </c>
      <c r="R16" s="16">
        <f t="shared" si="4"/>
        <v>2.5000000000000001E-3</v>
      </c>
    </row>
    <row r="17" spans="8:18" x14ac:dyDescent="0.3">
      <c r="H17" s="4"/>
      <c r="K17" s="5">
        <v>6</v>
      </c>
      <c r="L17" s="11">
        <f t="shared" si="0"/>
        <v>3297.3039591039992</v>
      </c>
      <c r="M17" s="11">
        <f t="shared" si="5"/>
        <v>10442.290723199998</v>
      </c>
      <c r="N17" s="13">
        <f t="shared" si="1"/>
        <v>150</v>
      </c>
      <c r="O17" s="17">
        <f t="shared" si="2"/>
        <v>21.982026394026661</v>
      </c>
      <c r="Q17" s="5">
        <f t="shared" si="3"/>
        <v>-3</v>
      </c>
      <c r="R17" s="16">
        <f t="shared" si="4"/>
        <v>3.0000000000000001E-3</v>
      </c>
    </row>
    <row r="18" spans="8:18" x14ac:dyDescent="0.3">
      <c r="H18" s="4"/>
      <c r="K18" s="5">
        <v>7</v>
      </c>
      <c r="L18" s="11">
        <f t="shared" si="0"/>
        <v>4022.7108301068793</v>
      </c>
      <c r="M18" s="11">
        <f t="shared" si="5"/>
        <v>13739.594682303998</v>
      </c>
      <c r="N18" s="13">
        <f t="shared" si="1"/>
        <v>175</v>
      </c>
      <c r="O18" s="17">
        <f t="shared" si="2"/>
        <v>22.986919029182168</v>
      </c>
      <c r="Q18" s="5">
        <f t="shared" si="3"/>
        <v>-3.5</v>
      </c>
      <c r="R18" s="16">
        <f t="shared" si="4"/>
        <v>3.5000000000000001E-3</v>
      </c>
    </row>
    <row r="19" spans="8:18" x14ac:dyDescent="0.3">
      <c r="H19" s="4"/>
      <c r="K19" s="5">
        <v>8</v>
      </c>
      <c r="L19" s="11">
        <f t="shared" si="0"/>
        <v>4907.7072127303918</v>
      </c>
      <c r="M19" s="11">
        <f t="shared" si="5"/>
        <v>17762.305512410876</v>
      </c>
      <c r="N19" s="13">
        <f t="shared" si="1"/>
        <v>200</v>
      </c>
      <c r="O19" s="17">
        <f t="shared" si="2"/>
        <v>24.538536063651961</v>
      </c>
      <c r="Q19" s="5">
        <f t="shared" si="3"/>
        <v>-4</v>
      </c>
      <c r="R19" s="16">
        <f t="shared" si="4"/>
        <v>4.0000000000000001E-3</v>
      </c>
    </row>
    <row r="20" spans="8:18" x14ac:dyDescent="0.3">
      <c r="H20" s="4"/>
      <c r="K20" s="5">
        <v>9</v>
      </c>
      <c r="L20" s="11">
        <f t="shared" si="0"/>
        <v>5987.402799531078</v>
      </c>
      <c r="M20" s="11">
        <f t="shared" si="5"/>
        <v>22670.012725141267</v>
      </c>
      <c r="N20" s="13">
        <f t="shared" si="1"/>
        <v>225</v>
      </c>
      <c r="O20" s="17">
        <f t="shared" si="2"/>
        <v>26.610679109027014</v>
      </c>
      <c r="Q20" s="5">
        <f t="shared" si="3"/>
        <v>-4.5</v>
      </c>
      <c r="R20" s="16">
        <f t="shared" si="4"/>
        <v>4.5000000000000005E-3</v>
      </c>
    </row>
    <row r="21" spans="8:18" x14ac:dyDescent="0.3">
      <c r="H21" s="4"/>
      <c r="K21" s="5">
        <v>10</v>
      </c>
      <c r="L21" s="11">
        <f t="shared" si="0"/>
        <v>7304.6314154279153</v>
      </c>
      <c r="M21" s="11">
        <f t="shared" si="5"/>
        <v>28657.415524672346</v>
      </c>
      <c r="N21" s="13">
        <f t="shared" si="1"/>
        <v>250</v>
      </c>
      <c r="O21" s="17">
        <f t="shared" si="2"/>
        <v>29.218525661711659</v>
      </c>
      <c r="Q21" s="5">
        <f t="shared" si="3"/>
        <v>-5</v>
      </c>
      <c r="R21" s="16">
        <f t="shared" si="4"/>
        <v>5.0000000000000001E-3</v>
      </c>
    </row>
    <row r="22" spans="8:18" x14ac:dyDescent="0.3">
      <c r="H22" s="4"/>
      <c r="K22" s="5">
        <v>11</v>
      </c>
      <c r="L22" s="11">
        <f t="shared" si="0"/>
        <v>8911.6503268220549</v>
      </c>
      <c r="M22" s="11">
        <f t="shared" si="5"/>
        <v>35962.046940100263</v>
      </c>
      <c r="N22" s="13">
        <f t="shared" si="1"/>
        <v>275</v>
      </c>
      <c r="O22" s="17">
        <f t="shared" si="2"/>
        <v>32.406001188443838</v>
      </c>
      <c r="Q22" s="5">
        <f t="shared" si="3"/>
        <v>-5.5</v>
      </c>
      <c r="R22" s="16">
        <f t="shared" si="4"/>
        <v>5.4999999999999997E-3</v>
      </c>
    </row>
    <row r="23" spans="8:18" x14ac:dyDescent="0.3">
      <c r="H23" s="4"/>
      <c r="K23" s="5">
        <v>12</v>
      </c>
      <c r="L23" s="11">
        <f t="shared" si="0"/>
        <v>10872.213398722908</v>
      </c>
      <c r="M23" s="11">
        <f t="shared" si="5"/>
        <v>44873.697266922318</v>
      </c>
      <c r="N23" s="13">
        <f t="shared" si="1"/>
        <v>300</v>
      </c>
      <c r="O23" s="17">
        <f t="shared" si="2"/>
        <v>36.240711329076362</v>
      </c>
      <c r="Q23" s="5">
        <f t="shared" si="3"/>
        <v>-6</v>
      </c>
      <c r="R23" s="16">
        <f t="shared" si="4"/>
        <v>6.0000000000000001E-3</v>
      </c>
    </row>
    <row r="24" spans="8:18" x14ac:dyDescent="0.3">
      <c r="H24" s="4"/>
      <c r="K24" s="5">
        <v>13</v>
      </c>
      <c r="L24" s="11">
        <f t="shared" si="0"/>
        <v>13264.100346441946</v>
      </c>
      <c r="M24" s="11">
        <f t="shared" si="5"/>
        <v>55745.910665645228</v>
      </c>
      <c r="N24" s="13">
        <f t="shared" si="1"/>
        <v>325</v>
      </c>
      <c r="O24" s="17">
        <f t="shared" si="2"/>
        <v>40.812616450590603</v>
      </c>
      <c r="Q24" s="5">
        <f t="shared" si="3"/>
        <v>-6.5</v>
      </c>
      <c r="R24" s="16">
        <f t="shared" si="4"/>
        <v>6.5000000000000006E-3</v>
      </c>
    </row>
    <row r="25" spans="8:18" x14ac:dyDescent="0.3">
      <c r="H25" s="4"/>
      <c r="K25" s="5">
        <v>14</v>
      </c>
      <c r="L25" s="11">
        <f t="shared" si="0"/>
        <v>16182.202422659173</v>
      </c>
      <c r="M25" s="11">
        <f t="shared" si="5"/>
        <v>69010.011012087169</v>
      </c>
      <c r="N25" s="13">
        <f t="shared" si="1"/>
        <v>350</v>
      </c>
      <c r="O25" s="17">
        <f t="shared" si="2"/>
        <v>46.234864064740492</v>
      </c>
      <c r="Q25" s="5">
        <f t="shared" si="3"/>
        <v>-7</v>
      </c>
      <c r="R25" s="16">
        <f t="shared" si="4"/>
        <v>7.0000000000000001E-3</v>
      </c>
    </row>
    <row r="26" spans="8:18" x14ac:dyDescent="0.3">
      <c r="H26" s="4"/>
      <c r="K26" s="5">
        <v>15</v>
      </c>
      <c r="L26" s="11">
        <f t="shared" si="0"/>
        <v>19742.286955644195</v>
      </c>
      <c r="M26" s="11">
        <f t="shared" si="5"/>
        <v>85192.213434746343</v>
      </c>
      <c r="N26" s="13">
        <f t="shared" si="1"/>
        <v>375</v>
      </c>
      <c r="O26" s="17">
        <f t="shared" si="2"/>
        <v>52.646098548384522</v>
      </c>
      <c r="Q26" s="5">
        <f t="shared" si="3"/>
        <v>-7.5</v>
      </c>
      <c r="R26" s="16">
        <f t="shared" si="4"/>
        <v>7.4999999999999997E-3</v>
      </c>
    </row>
    <row r="27" spans="8:18" x14ac:dyDescent="0.3">
      <c r="H27" s="4"/>
      <c r="K27" s="5">
        <v>16</v>
      </c>
      <c r="L27" s="11">
        <f t="shared" si="0"/>
        <v>24085.590085885913</v>
      </c>
      <c r="M27" s="11">
        <f t="shared" si="5"/>
        <v>104934.50039039055</v>
      </c>
      <c r="N27" s="13">
        <f t="shared" si="1"/>
        <v>400</v>
      </c>
      <c r="O27" s="17">
        <f t="shared" si="2"/>
        <v>60.213975214714786</v>
      </c>
      <c r="Q27" s="5">
        <f t="shared" si="3"/>
        <v>-8</v>
      </c>
      <c r="R27" s="16">
        <f t="shared" si="4"/>
        <v>8.0000000000000002E-3</v>
      </c>
    </row>
    <row r="28" spans="8:18" x14ac:dyDescent="0.3">
      <c r="H28" s="4"/>
      <c r="K28" s="5">
        <v>17</v>
      </c>
      <c r="L28" s="11">
        <f t="shared" si="0"/>
        <v>29384.419904780811</v>
      </c>
      <c r="M28" s="11">
        <f t="shared" si="5"/>
        <v>129020.09047627645</v>
      </c>
      <c r="N28" s="13">
        <f t="shared" si="1"/>
        <v>425</v>
      </c>
      <c r="O28" s="17">
        <f t="shared" si="2"/>
        <v>69.13981154066073</v>
      </c>
      <c r="Q28" s="5">
        <f t="shared" si="3"/>
        <v>-8.5</v>
      </c>
      <c r="R28" s="16">
        <f t="shared" si="4"/>
        <v>8.5000000000000006E-3</v>
      </c>
    </row>
    <row r="29" spans="8:18" x14ac:dyDescent="0.3">
      <c r="H29" s="4"/>
      <c r="K29" s="5">
        <v>18</v>
      </c>
      <c r="L29" s="11">
        <f t="shared" si="0"/>
        <v>35848.992283832587</v>
      </c>
      <c r="M29" s="11">
        <f t="shared" si="5"/>
        <v>158404.51038105728</v>
      </c>
      <c r="N29" s="13">
        <f t="shared" si="1"/>
        <v>450</v>
      </c>
      <c r="O29" s="17">
        <f t="shared" si="2"/>
        <v>79.664427297405751</v>
      </c>
      <c r="Q29" s="5">
        <f t="shared" si="3"/>
        <v>-9</v>
      </c>
      <c r="R29" s="16">
        <f t="shared" si="4"/>
        <v>9.0000000000000011E-3</v>
      </c>
    </row>
    <row r="30" spans="8:18" x14ac:dyDescent="0.3">
      <c r="H30" s="4"/>
      <c r="K30" s="5">
        <v>19</v>
      </c>
      <c r="L30" s="11">
        <f t="shared" si="0"/>
        <v>43735.770586275758</v>
      </c>
      <c r="M30" s="11">
        <f t="shared" si="5"/>
        <v>194253.50266488985</v>
      </c>
      <c r="N30" s="13">
        <f t="shared" si="1"/>
        <v>475</v>
      </c>
      <c r="O30" s="17">
        <f t="shared" si="2"/>
        <v>92.075306497422645</v>
      </c>
      <c r="Q30" s="5">
        <f t="shared" si="3"/>
        <v>-9.5</v>
      </c>
      <c r="R30" s="16">
        <f t="shared" si="4"/>
        <v>9.4999999999999998E-3</v>
      </c>
    </row>
    <row r="31" spans="8:18" x14ac:dyDescent="0.3">
      <c r="H31" s="4"/>
      <c r="K31" s="5">
        <v>20</v>
      </c>
      <c r="L31" s="11">
        <f t="shared" si="0"/>
        <v>53357.640115256414</v>
      </c>
      <c r="M31" s="11">
        <f t="shared" si="5"/>
        <v>237989.27325116561</v>
      </c>
      <c r="N31" s="13">
        <f t="shared" si="1"/>
        <v>500</v>
      </c>
      <c r="O31" s="17">
        <f t="shared" si="2"/>
        <v>106.71528023051283</v>
      </c>
      <c r="Q31" s="5">
        <f t="shared" si="3"/>
        <v>-10</v>
      </c>
      <c r="R31" s="16">
        <f t="shared" si="4"/>
        <v>0.01</v>
      </c>
    </row>
    <row r="32" spans="8:18" x14ac:dyDescent="0.3">
      <c r="H32" s="4"/>
      <c r="K32" s="5">
        <v>21</v>
      </c>
      <c r="L32" s="11">
        <f t="shared" si="0"/>
        <v>65096.32094061283</v>
      </c>
      <c r="M32" s="11">
        <f t="shared" si="5"/>
        <v>291346.913366422</v>
      </c>
      <c r="N32" s="13">
        <f t="shared" si="1"/>
        <v>525</v>
      </c>
      <c r="O32" s="17">
        <f t="shared" si="2"/>
        <v>123.99299226783396</v>
      </c>
      <c r="Q32" s="5">
        <f t="shared" si="3"/>
        <v>-10.5</v>
      </c>
      <c r="R32" s="16">
        <f t="shared" si="4"/>
        <v>1.0500000000000001E-2</v>
      </c>
    </row>
    <row r="33" spans="8:18" x14ac:dyDescent="0.3">
      <c r="H33" s="4"/>
      <c r="K33" s="5">
        <v>22</v>
      </c>
      <c r="L33" s="11">
        <f t="shared" si="0"/>
        <v>79417.511547547649</v>
      </c>
      <c r="M33" s="11">
        <f t="shared" si="5"/>
        <v>356443.23430703481</v>
      </c>
      <c r="N33" s="13">
        <f t="shared" si="1"/>
        <v>550</v>
      </c>
      <c r="O33" s="17">
        <f t="shared" si="2"/>
        <v>144.39547554099573</v>
      </c>
      <c r="Q33" s="5">
        <f t="shared" si="3"/>
        <v>-11</v>
      </c>
      <c r="R33" s="16">
        <f t="shared" si="4"/>
        <v>1.0999999999999999E-2</v>
      </c>
    </row>
    <row r="34" spans="8:18" x14ac:dyDescent="0.3">
      <c r="H34" s="4"/>
      <c r="K34" s="5">
        <v>23</v>
      </c>
      <c r="L34" s="11">
        <f t="shared" si="0"/>
        <v>96889.364088008137</v>
      </c>
      <c r="M34" s="11">
        <f t="shared" si="5"/>
        <v>435860.74585458246</v>
      </c>
      <c r="N34" s="13">
        <f t="shared" si="1"/>
        <v>575</v>
      </c>
      <c r="O34" s="17">
        <f t="shared" si="2"/>
        <v>168.50324189218807</v>
      </c>
      <c r="Q34" s="5">
        <f t="shared" si="3"/>
        <v>-11.5</v>
      </c>
      <c r="R34" s="16">
        <f t="shared" si="4"/>
        <v>1.15E-2</v>
      </c>
    </row>
    <row r="35" spans="8:18" x14ac:dyDescent="0.3">
      <c r="K35" s="5">
        <v>24</v>
      </c>
      <c r="L35" s="11">
        <f t="shared" si="0"/>
        <v>118205.0241873699</v>
      </c>
      <c r="M35" s="11">
        <f t="shared" si="5"/>
        <v>532750.10994259058</v>
      </c>
      <c r="N35" s="13">
        <f t="shared" si="1"/>
        <v>600</v>
      </c>
      <c r="O35" s="17">
        <f t="shared" si="2"/>
        <v>197.0083736456165</v>
      </c>
      <c r="Q35" s="5">
        <f t="shared" si="3"/>
        <v>-12</v>
      </c>
      <c r="R35" s="16">
        <f t="shared" si="4"/>
        <v>1.2E-2</v>
      </c>
    </row>
    <row r="36" spans="8:18" x14ac:dyDescent="0.3">
      <c r="K36" s="5">
        <v>25</v>
      </c>
      <c r="L36" s="11">
        <f t="shared" si="0"/>
        <v>144210.12950859129</v>
      </c>
      <c r="M36" s="11">
        <f t="shared" si="5"/>
        <v>650955.13412996044</v>
      </c>
      <c r="N36" s="13">
        <f t="shared" si="1"/>
        <v>625</v>
      </c>
      <c r="O36" s="17">
        <f t="shared" si="2"/>
        <v>230.73620721374607</v>
      </c>
      <c r="Q36" s="5">
        <f t="shared" si="3"/>
        <v>-12.5</v>
      </c>
      <c r="R36" s="16">
        <f t="shared" si="4"/>
        <v>1.2500000000000001E-2</v>
      </c>
    </row>
    <row r="37" spans="8:18" x14ac:dyDescent="0.3">
      <c r="K37" s="5">
        <v>26</v>
      </c>
      <c r="L37" s="11">
        <f t="shared" si="0"/>
        <v>175936.35800048136</v>
      </c>
      <c r="M37" s="11">
        <f t="shared" si="5"/>
        <v>795165.2636385517</v>
      </c>
      <c r="N37" s="13">
        <f t="shared" si="1"/>
        <v>650</v>
      </c>
      <c r="O37" s="17">
        <f t="shared" si="2"/>
        <v>270.67132000074054</v>
      </c>
      <c r="Q37" s="5">
        <f t="shared" si="3"/>
        <v>-13</v>
      </c>
      <c r="R37" s="16">
        <f t="shared" si="4"/>
        <v>1.3000000000000001E-2</v>
      </c>
    </row>
    <row r="38" spans="8:18" x14ac:dyDescent="0.3">
      <c r="K38" s="5">
        <v>27</v>
      </c>
      <c r="L38" s="11">
        <f t="shared" si="0"/>
        <v>214642.35676058722</v>
      </c>
      <c r="M38" s="11">
        <f t="shared" si="5"/>
        <v>971101.62163903308</v>
      </c>
      <c r="N38" s="13">
        <f t="shared" si="1"/>
        <v>675</v>
      </c>
      <c r="O38" s="17">
        <f t="shared" si="2"/>
        <v>317.98867668235147</v>
      </c>
      <c r="Q38" s="5">
        <f t="shared" si="3"/>
        <v>-13.5</v>
      </c>
      <c r="R38" s="16">
        <f t="shared" si="4"/>
        <v>1.35E-2</v>
      </c>
    </row>
    <row r="39" spans="8:18" x14ac:dyDescent="0.3">
      <c r="K39" s="5">
        <v>28</v>
      </c>
      <c r="L39" s="11">
        <f t="shared" si="0"/>
        <v>261863.67524791643</v>
      </c>
      <c r="M39" s="11">
        <f t="shared" si="5"/>
        <v>1185743.9783996204</v>
      </c>
      <c r="N39" s="13">
        <f t="shared" si="1"/>
        <v>700</v>
      </c>
      <c r="O39" s="17">
        <f t="shared" si="2"/>
        <v>374.09096463988061</v>
      </c>
      <c r="Q39" s="5">
        <f t="shared" si="3"/>
        <v>-14</v>
      </c>
      <c r="R39" s="16">
        <f t="shared" si="4"/>
        <v>1.4E-2</v>
      </c>
    </row>
    <row r="40" spans="8:18" x14ac:dyDescent="0.3">
      <c r="K40" s="5">
        <v>29</v>
      </c>
      <c r="L40" s="11">
        <f t="shared" si="0"/>
        <v>319473.68380245805</v>
      </c>
      <c r="M40" s="11">
        <f t="shared" si="5"/>
        <v>1447607.6536475369</v>
      </c>
      <c r="N40" s="13">
        <f t="shared" si="1"/>
        <v>725</v>
      </c>
      <c r="O40" s="17">
        <f t="shared" si="2"/>
        <v>440.65335696890764</v>
      </c>
      <c r="Q40" s="5">
        <f t="shared" si="3"/>
        <v>-14.5</v>
      </c>
      <c r="R40" s="16">
        <f t="shared" si="4"/>
        <v>1.4500000000000001E-2</v>
      </c>
    </row>
    <row r="41" spans="8:18" x14ac:dyDescent="0.3">
      <c r="K41" s="5">
        <v>30</v>
      </c>
      <c r="L41" s="11">
        <f t="shared" si="0"/>
        <v>389757.89423899876</v>
      </c>
      <c r="M41" s="11">
        <f t="shared" si="5"/>
        <v>1767081.3374499949</v>
      </c>
      <c r="N41" s="13">
        <f t="shared" si="1"/>
        <v>750</v>
      </c>
      <c r="O41" s="17">
        <f t="shared" si="2"/>
        <v>519.67719231866499</v>
      </c>
      <c r="Q41" s="5">
        <f t="shared" si="3"/>
        <v>-15</v>
      </c>
      <c r="R41" s="16">
        <f t="shared" si="4"/>
        <v>1.4999999999999999E-2</v>
      </c>
    </row>
    <row r="42" spans="8:18" x14ac:dyDescent="0.3">
      <c r="K42" s="5">
        <v>31</v>
      </c>
      <c r="L42" s="11">
        <f t="shared" si="0"/>
        <v>475504.63097157853</v>
      </c>
      <c r="M42" s="11">
        <f t="shared" si="5"/>
        <v>2156839.2316889935</v>
      </c>
      <c r="N42" s="13">
        <f t="shared" si="1"/>
        <v>775</v>
      </c>
      <c r="O42" s="17">
        <f t="shared" si="2"/>
        <v>613.55436254397227</v>
      </c>
      <c r="Q42" s="5">
        <f t="shared" si="3"/>
        <v>-15.5</v>
      </c>
      <c r="R42" s="16">
        <f t="shared" si="4"/>
        <v>1.55E-2</v>
      </c>
    </row>
    <row r="43" spans="8:18" x14ac:dyDescent="0.3">
      <c r="K43" s="5">
        <v>32</v>
      </c>
      <c r="L43" s="11">
        <f t="shared" si="0"/>
        <v>580115.64978532563</v>
      </c>
      <c r="M43" s="11">
        <f t="shared" si="5"/>
        <v>2632343.8626605719</v>
      </c>
      <c r="N43" s="13">
        <f t="shared" si="1"/>
        <v>800</v>
      </c>
      <c r="O43" s="17">
        <f t="shared" si="2"/>
        <v>725.14456223165701</v>
      </c>
      <c r="Q43" s="5">
        <f t="shared" si="3"/>
        <v>-16</v>
      </c>
      <c r="R43" s="16">
        <f t="shared" si="4"/>
        <v>1.6E-2</v>
      </c>
    </row>
    <row r="44" spans="8:18" x14ac:dyDescent="0.3">
      <c r="K44" s="5">
        <v>33</v>
      </c>
      <c r="L44" s="11">
        <f t="shared" si="0"/>
        <v>707741.0927380973</v>
      </c>
      <c r="M44" s="11">
        <f t="shared" si="5"/>
        <v>3212459.5124458978</v>
      </c>
      <c r="N44" s="13">
        <f t="shared" si="1"/>
        <v>825</v>
      </c>
      <c r="O44" s="17">
        <f t="shared" si="2"/>
        <v>857.86799119769375</v>
      </c>
      <c r="Q44" s="5">
        <f t="shared" si="3"/>
        <v>-16.5</v>
      </c>
      <c r="R44" s="16">
        <f t="shared" si="4"/>
        <v>1.6500000000000001E-2</v>
      </c>
    </row>
    <row r="45" spans="8:18" x14ac:dyDescent="0.3">
      <c r="K45" s="5">
        <v>34</v>
      </c>
      <c r="L45" s="11">
        <f t="shared" si="0"/>
        <v>863444.13314047875</v>
      </c>
      <c r="M45" s="11">
        <f t="shared" si="5"/>
        <v>3920200.6051839953</v>
      </c>
      <c r="N45" s="13">
        <f t="shared" si="1"/>
        <v>850</v>
      </c>
      <c r="O45" s="17">
        <f t="shared" si="2"/>
        <v>1015.8166272240926</v>
      </c>
      <c r="Q45" s="5">
        <f t="shared" si="3"/>
        <v>-17</v>
      </c>
      <c r="R45" s="16">
        <f t="shared" si="4"/>
        <v>1.7000000000000001E-2</v>
      </c>
    </row>
    <row r="46" spans="8:18" x14ac:dyDescent="0.3">
      <c r="K46" s="5">
        <v>35</v>
      </c>
      <c r="L46" s="11">
        <f t="shared" si="0"/>
        <v>1053401.8424313839</v>
      </c>
      <c r="M46" s="11">
        <f t="shared" si="5"/>
        <v>4783644.7383244745</v>
      </c>
      <c r="N46" s="13">
        <f t="shared" si="1"/>
        <v>875</v>
      </c>
      <c r="O46" s="17">
        <f t="shared" si="2"/>
        <v>1203.8878199215817</v>
      </c>
      <c r="Q46" s="5">
        <f t="shared" si="3"/>
        <v>-17.5</v>
      </c>
      <c r="R46" s="16">
        <f t="shared" si="4"/>
        <v>1.7500000000000002E-2</v>
      </c>
    </row>
    <row r="47" spans="8:18" x14ac:dyDescent="0.3">
      <c r="K47" s="5">
        <v>36</v>
      </c>
      <c r="L47" s="11">
        <f t="shared" si="0"/>
        <v>1285150.2477662885</v>
      </c>
      <c r="M47" s="11">
        <f t="shared" si="5"/>
        <v>5837046.5807558587</v>
      </c>
      <c r="N47" s="13">
        <f t="shared" si="1"/>
        <v>900</v>
      </c>
      <c r="O47" s="17">
        <f t="shared" si="2"/>
        <v>1427.9447197403206</v>
      </c>
      <c r="Q47" s="5">
        <f t="shared" si="3"/>
        <v>-18</v>
      </c>
      <c r="R47" s="16">
        <f t="shared" si="4"/>
        <v>1.8000000000000002E-2</v>
      </c>
    </row>
    <row r="48" spans="8:18" x14ac:dyDescent="0.3">
      <c r="K48" s="5">
        <v>37</v>
      </c>
      <c r="L48" s="11">
        <f t="shared" si="0"/>
        <v>1567883.3022748719</v>
      </c>
      <c r="M48" s="11">
        <f t="shared" si="5"/>
        <v>7122196.8285221476</v>
      </c>
      <c r="N48" s="13">
        <f t="shared" si="1"/>
        <v>925</v>
      </c>
      <c r="O48" s="17">
        <f t="shared" si="2"/>
        <v>1695.0089754322939</v>
      </c>
      <c r="Q48" s="5">
        <f t="shared" si="3"/>
        <v>-18.5</v>
      </c>
      <c r="R48" s="16">
        <f t="shared" si="4"/>
        <v>1.8499999999999999E-2</v>
      </c>
    </row>
    <row r="49" spans="11:18" x14ac:dyDescent="0.3">
      <c r="K49" s="5">
        <v>38</v>
      </c>
      <c r="L49" s="11">
        <f t="shared" si="0"/>
        <v>1912817.6287753433</v>
      </c>
      <c r="M49" s="11">
        <f t="shared" si="5"/>
        <v>8690080.1307970192</v>
      </c>
      <c r="N49" s="13">
        <f t="shared" si="1"/>
        <v>950</v>
      </c>
      <c r="O49" s="17">
        <f t="shared" si="2"/>
        <v>2013.4922408161508</v>
      </c>
      <c r="Q49" s="5">
        <f t="shared" si="3"/>
        <v>-19</v>
      </c>
      <c r="R49" s="16">
        <f t="shared" si="4"/>
        <v>1.9E-2</v>
      </c>
    </row>
    <row r="50" spans="11:18" x14ac:dyDescent="0.3">
      <c r="K50" s="5">
        <v>39</v>
      </c>
      <c r="L50" s="11">
        <f t="shared" si="0"/>
        <v>2333637.5071059191</v>
      </c>
      <c r="M50" s="11">
        <f t="shared" si="5"/>
        <v>10602897.759572363</v>
      </c>
      <c r="N50" s="13">
        <f t="shared" si="1"/>
        <v>975</v>
      </c>
      <c r="O50" s="17">
        <f t="shared" si="2"/>
        <v>2393.474366262481</v>
      </c>
      <c r="Q50" s="5">
        <f t="shared" si="3"/>
        <v>-19.5</v>
      </c>
      <c r="R50" s="16">
        <f t="shared" si="4"/>
        <v>1.95E-2</v>
      </c>
    </row>
    <row r="51" spans="11:18" x14ac:dyDescent="0.3">
      <c r="K51" s="5">
        <v>40</v>
      </c>
      <c r="L51" s="11">
        <f t="shared" si="0"/>
        <v>2847037.7586692208</v>
      </c>
      <c r="M51" s="11">
        <f t="shared" si="5"/>
        <v>12936535.266678281</v>
      </c>
      <c r="N51" s="13">
        <f t="shared" si="1"/>
        <v>1000</v>
      </c>
      <c r="O51" s="17">
        <f t="shared" si="2"/>
        <v>2847.0377586692207</v>
      </c>
      <c r="Q51" s="5">
        <f t="shared" si="3"/>
        <v>-20</v>
      </c>
      <c r="R51" s="16">
        <f t="shared" si="4"/>
        <v>0.02</v>
      </c>
    </row>
    <row r="52" spans="11:18" x14ac:dyDescent="0.3">
      <c r="K52" s="5">
        <v>41</v>
      </c>
      <c r="L52" s="11">
        <f t="shared" si="0"/>
        <v>3473386.065576449</v>
      </c>
      <c r="M52" s="11">
        <f t="shared" si="5"/>
        <v>15783573.025347501</v>
      </c>
      <c r="N52" s="13">
        <f t="shared" si="1"/>
        <v>1025</v>
      </c>
      <c r="O52" s="17">
        <f t="shared" si="2"/>
        <v>3388.6693322697065</v>
      </c>
      <c r="Q52" s="5">
        <f t="shared" si="3"/>
        <v>-20.5</v>
      </c>
      <c r="R52" s="16">
        <f t="shared" si="4"/>
        <v>2.0500000000000001E-2</v>
      </c>
    </row>
    <row r="53" spans="11:18" x14ac:dyDescent="0.3">
      <c r="K53" s="5">
        <v>42</v>
      </c>
      <c r="L53" s="11">
        <f t="shared" si="0"/>
        <v>4237531.000003268</v>
      </c>
      <c r="M53" s="11">
        <f t="shared" si="5"/>
        <v>19256959.09092395</v>
      </c>
      <c r="N53" s="13">
        <f t="shared" si="1"/>
        <v>1050</v>
      </c>
      <c r="O53" s="17">
        <f t="shared" si="2"/>
        <v>4035.7438095269217</v>
      </c>
      <c r="Q53" s="5">
        <f t="shared" si="3"/>
        <v>-21</v>
      </c>
      <c r="R53" s="16">
        <f t="shared" si="4"/>
        <v>2.1000000000000001E-2</v>
      </c>
    </row>
    <row r="54" spans="11:18" x14ac:dyDescent="0.3">
      <c r="K54" s="5">
        <v>43</v>
      </c>
      <c r="L54" s="11">
        <f t="shared" si="0"/>
        <v>5169787.8200039864</v>
      </c>
      <c r="M54" s="11">
        <f t="shared" si="5"/>
        <v>23494490.090927217</v>
      </c>
      <c r="N54" s="13">
        <f t="shared" si="1"/>
        <v>1075</v>
      </c>
      <c r="O54" s="17">
        <f t="shared" si="2"/>
        <v>4809.1049488409171</v>
      </c>
      <c r="Q54" s="5">
        <f t="shared" si="3"/>
        <v>-21.5</v>
      </c>
      <c r="R54" s="16">
        <f t="shared" si="4"/>
        <v>2.1500000000000002E-2</v>
      </c>
    </row>
    <row r="55" spans="11:18" x14ac:dyDescent="0.3">
      <c r="K55" s="5">
        <v>44</v>
      </c>
      <c r="L55" s="11">
        <f t="shared" si="0"/>
        <v>6307141.1404048633</v>
      </c>
      <c r="M55" s="11">
        <f t="shared" si="5"/>
        <v>28664277.910931204</v>
      </c>
      <c r="N55" s="13">
        <f t="shared" si="1"/>
        <v>1100</v>
      </c>
      <c r="O55" s="17">
        <f t="shared" si="2"/>
        <v>5733.7646730953302</v>
      </c>
      <c r="Q55" s="5">
        <f t="shared" si="3"/>
        <v>-22</v>
      </c>
      <c r="R55" s="16">
        <f t="shared" si="4"/>
        <v>2.1999999999999999E-2</v>
      </c>
    </row>
    <row r="56" spans="11:18" x14ac:dyDescent="0.3">
      <c r="K56" s="5">
        <v>45</v>
      </c>
      <c r="L56" s="11">
        <f t="shared" si="0"/>
        <v>7694712.1912939325</v>
      </c>
      <c r="M56" s="11">
        <f t="shared" si="5"/>
        <v>34971419.051336065</v>
      </c>
      <c r="N56" s="13">
        <f t="shared" si="1"/>
        <v>1125</v>
      </c>
      <c r="O56" s="17">
        <f t="shared" si="2"/>
        <v>6839.7441700390509</v>
      </c>
      <c r="Q56" s="5">
        <f t="shared" si="3"/>
        <v>-22.5</v>
      </c>
      <c r="R56" s="16">
        <f t="shared" si="4"/>
        <v>2.2499999999999999E-2</v>
      </c>
    </row>
    <row r="57" spans="11:18" x14ac:dyDescent="0.3">
      <c r="K57" s="5">
        <v>46</v>
      </c>
      <c r="L57" s="11">
        <f t="shared" si="0"/>
        <v>9387548.8733785972</v>
      </c>
      <c r="M57" s="11">
        <f t="shared" si="5"/>
        <v>42666131.242629997</v>
      </c>
      <c r="N57" s="13">
        <f t="shared" si="1"/>
        <v>1150</v>
      </c>
      <c r="O57" s="17">
        <f t="shared" si="2"/>
        <v>8163.0859768509545</v>
      </c>
      <c r="Q57" s="5">
        <f t="shared" si="3"/>
        <v>-23</v>
      </c>
      <c r="R57" s="16">
        <f t="shared" si="4"/>
        <v>2.3E-2</v>
      </c>
    </row>
    <row r="58" spans="11:18" x14ac:dyDescent="0.3">
      <c r="K58" s="5">
        <v>47</v>
      </c>
      <c r="L58" s="11">
        <f t="shared" si="0"/>
        <v>11452809.625521889</v>
      </c>
      <c r="M58" s="11">
        <f t="shared" si="5"/>
        <v>52053680.116008595</v>
      </c>
      <c r="N58" s="13">
        <f t="shared" si="1"/>
        <v>1175</v>
      </c>
      <c r="O58" s="17">
        <f t="shared" si="2"/>
        <v>9747.0720217207563</v>
      </c>
      <c r="Q58" s="5">
        <f t="shared" si="3"/>
        <v>-23.5</v>
      </c>
      <c r="R58" s="16">
        <f t="shared" si="4"/>
        <v>2.35E-2</v>
      </c>
    </row>
    <row r="59" spans="11:18" x14ac:dyDescent="0.3">
      <c r="K59" s="5">
        <v>48</v>
      </c>
      <c r="L59" s="11">
        <f t="shared" si="0"/>
        <v>13972427.743136702</v>
      </c>
      <c r="M59" s="11">
        <f t="shared" si="5"/>
        <v>63506489.741530485</v>
      </c>
      <c r="N59" s="13">
        <f t="shared" si="1"/>
        <v>1200</v>
      </c>
      <c r="O59" s="17">
        <f t="shared" si="2"/>
        <v>11643.689785947252</v>
      </c>
      <c r="Q59" s="5">
        <f t="shared" si="3"/>
        <v>-24</v>
      </c>
      <c r="R59" s="16">
        <f t="shared" si="4"/>
        <v>2.4E-2</v>
      </c>
    </row>
    <row r="60" spans="11:18" x14ac:dyDescent="0.3">
      <c r="K60" s="5">
        <v>49</v>
      </c>
      <c r="L60" s="11">
        <f t="shared" si="0"/>
        <v>17046361.846626777</v>
      </c>
      <c r="M60" s="11">
        <f t="shared" si="5"/>
        <v>77478917.484667182</v>
      </c>
      <c r="N60" s="13">
        <f t="shared" si="1"/>
        <v>1225</v>
      </c>
      <c r="O60" s="17">
        <f t="shared" si="2"/>
        <v>13915.397425817777</v>
      </c>
      <c r="Q60" s="5">
        <f t="shared" si="3"/>
        <v>-24.5</v>
      </c>
      <c r="R60" s="16">
        <f t="shared" si="4"/>
        <v>2.4500000000000001E-2</v>
      </c>
    </row>
    <row r="61" spans="11:18" x14ac:dyDescent="0.3">
      <c r="K61" s="5">
        <v>50</v>
      </c>
      <c r="L61" s="11">
        <f t="shared" si="0"/>
        <v>20796561.452884667</v>
      </c>
      <c r="M61" s="11">
        <f t="shared" si="5"/>
        <v>94525279.331293955</v>
      </c>
      <c r="N61" s="13">
        <f t="shared" si="1"/>
        <v>1250</v>
      </c>
      <c r="O61" s="17">
        <f t="shared" si="2"/>
        <v>16637.249162307733</v>
      </c>
      <c r="Q61" s="5">
        <f t="shared" si="3"/>
        <v>-25</v>
      </c>
      <c r="R61" s="16">
        <f t="shared" si="4"/>
        <v>2.5000000000000001E-2</v>
      </c>
    </row>
    <row r="62" spans="11:18" x14ac:dyDescent="0.3">
      <c r="K62" s="5">
        <v>51</v>
      </c>
      <c r="L62" s="11">
        <f t="shared" si="0"/>
        <v>25371804.972519293</v>
      </c>
      <c r="M62" s="11">
        <f t="shared" si="5"/>
        <v>115321840.78417861</v>
      </c>
      <c r="N62" s="13">
        <f t="shared" si="1"/>
        <v>1275</v>
      </c>
      <c r="O62" s="17">
        <f t="shared" si="2"/>
        <v>19899.454880407287</v>
      </c>
      <c r="Q62" s="5">
        <f t="shared" si="3"/>
        <v>-25.5</v>
      </c>
      <c r="R62" s="16">
        <f t="shared" si="4"/>
        <v>2.5500000000000002E-2</v>
      </c>
    </row>
    <row r="63" spans="11:18" x14ac:dyDescent="0.3">
      <c r="K63" s="5">
        <v>52</v>
      </c>
      <c r="L63" s="11">
        <f t="shared" si="0"/>
        <v>30953602.066473532</v>
      </c>
      <c r="M63" s="11">
        <f t="shared" si="5"/>
        <v>140693645.75669789</v>
      </c>
      <c r="N63" s="13">
        <f t="shared" si="1"/>
        <v>1300</v>
      </c>
      <c r="O63" s="17">
        <f t="shared" si="2"/>
        <v>23810.463128056563</v>
      </c>
      <c r="Q63" s="5">
        <f t="shared" si="3"/>
        <v>-26</v>
      </c>
      <c r="R63" s="16">
        <f t="shared" si="4"/>
        <v>2.6000000000000002E-2</v>
      </c>
    </row>
    <row r="64" spans="11:18" x14ac:dyDescent="0.3">
      <c r="K64" s="5">
        <v>53</v>
      </c>
      <c r="L64" s="11">
        <f t="shared" si="0"/>
        <v>37763394.521097712</v>
      </c>
      <c r="M64" s="11">
        <f t="shared" si="5"/>
        <v>171647247.82317144</v>
      </c>
      <c r="N64" s="13">
        <f t="shared" si="1"/>
        <v>1325</v>
      </c>
      <c r="O64" s="17">
        <f t="shared" si="2"/>
        <v>28500.675110262426</v>
      </c>
      <c r="Q64" s="5">
        <f t="shared" si="3"/>
        <v>-26.5</v>
      </c>
      <c r="R64" s="16">
        <f t="shared" si="4"/>
        <v>2.6499999999999999E-2</v>
      </c>
    </row>
    <row r="65" spans="11:18" x14ac:dyDescent="0.3">
      <c r="K65" s="5">
        <v>54</v>
      </c>
      <c r="L65" s="11">
        <f t="shared" si="0"/>
        <v>46071341.315739207</v>
      </c>
      <c r="M65" s="11">
        <f t="shared" si="5"/>
        <v>209410642.34426916</v>
      </c>
      <c r="N65" s="13">
        <f t="shared" si="1"/>
        <v>1350</v>
      </c>
      <c r="O65" s="17">
        <f t="shared" si="2"/>
        <v>34126.919493140151</v>
      </c>
      <c r="Q65" s="5">
        <f t="shared" si="3"/>
        <v>-27</v>
      </c>
      <c r="R65" s="16">
        <f t="shared" si="4"/>
        <v>2.7E-2</v>
      </c>
    </row>
    <row r="66" spans="11:18" x14ac:dyDescent="0.3">
      <c r="K66" s="5">
        <v>55</v>
      </c>
      <c r="L66" s="11">
        <f t="shared" si="0"/>
        <v>56207036.405201845</v>
      </c>
      <c r="M66" s="11">
        <f t="shared" si="5"/>
        <v>255481983.66000837</v>
      </c>
      <c r="N66" s="13">
        <f t="shared" si="1"/>
        <v>1375</v>
      </c>
      <c r="O66" s="17">
        <f t="shared" si="2"/>
        <v>40877.844658328613</v>
      </c>
      <c r="Q66" s="5">
        <f t="shared" si="3"/>
        <v>-27.5</v>
      </c>
      <c r="R66" s="16">
        <f t="shared" si="4"/>
        <v>2.75E-2</v>
      </c>
    </row>
    <row r="67" spans="11:18" x14ac:dyDescent="0.3">
      <c r="K67" s="5">
        <v>56</v>
      </c>
      <c r="L67" s="11">
        <f t="shared" si="0"/>
        <v>68572584.414346233</v>
      </c>
      <c r="M67" s="11">
        <f t="shared" si="5"/>
        <v>311689020.06521022</v>
      </c>
      <c r="N67" s="13">
        <f t="shared" si="1"/>
        <v>1400</v>
      </c>
      <c r="O67" s="17">
        <f t="shared" si="2"/>
        <v>48980.417438818738</v>
      </c>
      <c r="Q67" s="5">
        <f t="shared" si="3"/>
        <v>-28</v>
      </c>
      <c r="R67" s="16">
        <f t="shared" si="4"/>
        <v>2.8000000000000001E-2</v>
      </c>
    </row>
    <row r="68" spans="11:18" x14ac:dyDescent="0.3">
      <c r="K68" s="5">
        <v>57</v>
      </c>
      <c r="L68" s="11">
        <f t="shared" si="0"/>
        <v>83658552.985502392</v>
      </c>
      <c r="M68" s="11">
        <f t="shared" si="5"/>
        <v>380261604.47955644</v>
      </c>
      <c r="N68" s="13">
        <f t="shared" si="1"/>
        <v>1425</v>
      </c>
      <c r="O68" s="17">
        <f t="shared" si="2"/>
        <v>58707.756481054312</v>
      </c>
      <c r="Q68" s="5">
        <f t="shared" si="3"/>
        <v>-28.5</v>
      </c>
      <c r="R68" s="16">
        <f t="shared" si="4"/>
        <v>2.8500000000000001E-2</v>
      </c>
    </row>
    <row r="69" spans="11:18" x14ac:dyDescent="0.3">
      <c r="K69" s="5">
        <v>58</v>
      </c>
      <c r="L69" s="11">
        <f t="shared" si="0"/>
        <v>102063434.64231293</v>
      </c>
      <c r="M69" s="11">
        <f t="shared" si="5"/>
        <v>463920157.4650588</v>
      </c>
      <c r="N69" s="13">
        <f t="shared" si="1"/>
        <v>1450</v>
      </c>
      <c r="O69" s="17">
        <f t="shared" si="2"/>
        <v>70388.575615388225</v>
      </c>
      <c r="Q69" s="5">
        <f t="shared" si="3"/>
        <v>-29</v>
      </c>
      <c r="R69" s="16">
        <f t="shared" si="4"/>
        <v>2.9000000000000001E-2</v>
      </c>
    </row>
    <row r="70" spans="11:18" x14ac:dyDescent="0.3">
      <c r="K70" s="5">
        <v>59</v>
      </c>
      <c r="L70" s="11">
        <f t="shared" si="0"/>
        <v>124517390.26362175</v>
      </c>
      <c r="M70" s="11">
        <f t="shared" si="5"/>
        <v>565983592.10737169</v>
      </c>
      <c r="N70" s="13">
        <f t="shared" si="1"/>
        <v>1475</v>
      </c>
      <c r="O70" s="17">
        <f t="shared" si="2"/>
        <v>84418.569670252036</v>
      </c>
      <c r="Q70" s="5">
        <f t="shared" si="3"/>
        <v>-29.5</v>
      </c>
      <c r="R70" s="16">
        <f t="shared" si="4"/>
        <v>2.9500000000000002E-2</v>
      </c>
    </row>
    <row r="71" spans="11:18" x14ac:dyDescent="0.3">
      <c r="K71" s="5">
        <v>60</v>
      </c>
      <c r="L71" s="11">
        <f t="shared" si="0"/>
        <v>151911216.12161854</v>
      </c>
      <c r="M71" s="11">
        <f t="shared" si="5"/>
        <v>690500982.37099338</v>
      </c>
      <c r="N71" s="13">
        <f t="shared" si="1"/>
        <v>1500</v>
      </c>
      <c r="O71" s="17">
        <f t="shared" si="2"/>
        <v>101274.14408107902</v>
      </c>
      <c r="Q71" s="5">
        <f t="shared" si="3"/>
        <v>-30</v>
      </c>
      <c r="R71" s="16">
        <f t="shared" si="4"/>
        <v>0.03</v>
      </c>
    </row>
    <row r="72" spans="11:18" x14ac:dyDescent="0.3">
      <c r="K72" s="5">
        <v>61</v>
      </c>
      <c r="L72" s="11">
        <f t="shared" si="0"/>
        <v>185331683.6683746</v>
      </c>
      <c r="M72" s="11">
        <f t="shared" si="5"/>
        <v>842412198.49261189</v>
      </c>
      <c r="N72" s="13">
        <f t="shared" si="1"/>
        <v>1525</v>
      </c>
      <c r="O72" s="17">
        <f t="shared" si="2"/>
        <v>121528.97289729482</v>
      </c>
      <c r="Q72" s="5">
        <f t="shared" si="3"/>
        <v>-30.5</v>
      </c>
      <c r="R72" s="16">
        <f t="shared" si="4"/>
        <v>3.0499999999999999E-2</v>
      </c>
    </row>
    <row r="73" spans="11:18" x14ac:dyDescent="0.3">
      <c r="K73" s="5">
        <v>62</v>
      </c>
      <c r="L73" s="11">
        <f t="shared" si="0"/>
        <v>226104654.07541701</v>
      </c>
      <c r="M73" s="11">
        <f t="shared" si="5"/>
        <v>1027743882.1609864</v>
      </c>
      <c r="N73" s="13">
        <f t="shared" si="1"/>
        <v>1550</v>
      </c>
      <c r="O73" s="17">
        <f t="shared" si="2"/>
        <v>145873.97037123679</v>
      </c>
      <c r="Q73" s="5">
        <f t="shared" si="3"/>
        <v>-31</v>
      </c>
      <c r="R73" s="16">
        <f t="shared" si="4"/>
        <v>3.1E-2</v>
      </c>
    </row>
    <row r="74" spans="11:18" x14ac:dyDescent="0.3">
      <c r="K74" s="5">
        <v>63</v>
      </c>
      <c r="L74" s="11">
        <f t="shared" si="0"/>
        <v>275847677.97200876</v>
      </c>
      <c r="M74" s="11">
        <f t="shared" si="5"/>
        <v>1253848536.2364035</v>
      </c>
      <c r="N74" s="13">
        <f t="shared" si="1"/>
        <v>1575</v>
      </c>
      <c r="O74" s="17">
        <f t="shared" si="2"/>
        <v>175141.38283937064</v>
      </c>
      <c r="Q74" s="5">
        <f t="shared" si="3"/>
        <v>-31.5</v>
      </c>
      <c r="R74" s="16">
        <f t="shared" si="4"/>
        <v>3.15E-2</v>
      </c>
    </row>
    <row r="75" spans="11:18" x14ac:dyDescent="0.3">
      <c r="K75" s="5">
        <v>64</v>
      </c>
      <c r="L75" s="11">
        <f t="shared" ref="L75:L138" si="6">$I$6*($I$7^K75)</f>
        <v>336534167.12585062</v>
      </c>
      <c r="M75" s="11">
        <f t="shared" si="5"/>
        <v>1529696214.2084122</v>
      </c>
      <c r="N75" s="13">
        <f t="shared" ref="N75:N138" si="7">K75*$I$8</f>
        <v>1600</v>
      </c>
      <c r="O75" s="17">
        <f t="shared" ref="O75:O138" si="8">L75/N75</f>
        <v>210333.85445365665</v>
      </c>
      <c r="Q75" s="5">
        <f t="shared" ref="Q75:Q138" si="9">K75*$I$11*$B$8</f>
        <v>-32</v>
      </c>
      <c r="R75" s="16">
        <f t="shared" ref="R75:R138" si="10">K75*$I$12</f>
        <v>3.2000000000000001E-2</v>
      </c>
    </row>
    <row r="76" spans="11:18" x14ac:dyDescent="0.3">
      <c r="K76" s="5">
        <v>65</v>
      </c>
      <c r="L76" s="11">
        <f t="shared" si="6"/>
        <v>410571683.89353776</v>
      </c>
      <c r="M76" s="11">
        <f t="shared" ref="M76:M139" si="11">M75+L75</f>
        <v>1866230381.3342628</v>
      </c>
      <c r="N76" s="13">
        <f t="shared" si="7"/>
        <v>1625</v>
      </c>
      <c r="O76" s="17">
        <f t="shared" si="8"/>
        <v>252659.49778063863</v>
      </c>
      <c r="Q76" s="5">
        <f t="shared" si="9"/>
        <v>-32.5</v>
      </c>
      <c r="R76" s="16">
        <f t="shared" si="10"/>
        <v>3.2500000000000001E-2</v>
      </c>
    </row>
    <row r="77" spans="11:18" x14ac:dyDescent="0.3">
      <c r="K77" s="5">
        <v>66</v>
      </c>
      <c r="L77" s="11">
        <f t="shared" si="6"/>
        <v>500897454.35011607</v>
      </c>
      <c r="M77" s="11">
        <f t="shared" si="11"/>
        <v>2276802065.2278004</v>
      </c>
      <c r="N77" s="13">
        <f t="shared" si="7"/>
        <v>1650</v>
      </c>
      <c r="O77" s="17">
        <f t="shared" si="8"/>
        <v>303574.21475764608</v>
      </c>
      <c r="Q77" s="5">
        <f t="shared" si="9"/>
        <v>-33</v>
      </c>
      <c r="R77" s="16">
        <f t="shared" si="10"/>
        <v>3.3000000000000002E-2</v>
      </c>
    </row>
    <row r="78" spans="11:18" x14ac:dyDescent="0.3">
      <c r="K78" s="5">
        <v>67</v>
      </c>
      <c r="L78" s="11">
        <f t="shared" si="6"/>
        <v>611094894.30714154</v>
      </c>
      <c r="M78" s="11">
        <f t="shared" si="11"/>
        <v>2777699519.5779166</v>
      </c>
      <c r="N78" s="13">
        <f t="shared" si="7"/>
        <v>1675</v>
      </c>
      <c r="O78" s="17">
        <f t="shared" si="8"/>
        <v>364832.7727206815</v>
      </c>
      <c r="Q78" s="5">
        <f t="shared" si="9"/>
        <v>-33.5</v>
      </c>
      <c r="R78" s="16">
        <f t="shared" si="10"/>
        <v>3.3500000000000002E-2</v>
      </c>
    </row>
    <row r="79" spans="11:18" x14ac:dyDescent="0.3">
      <c r="K79" s="5">
        <v>68</v>
      </c>
      <c r="L79" s="11">
        <f t="shared" si="6"/>
        <v>745535771.05471253</v>
      </c>
      <c r="M79" s="11">
        <f t="shared" si="11"/>
        <v>3388794413.8850584</v>
      </c>
      <c r="N79" s="13">
        <f t="shared" si="7"/>
        <v>1700</v>
      </c>
      <c r="O79" s="17">
        <f t="shared" si="8"/>
        <v>438550.45356159558</v>
      </c>
      <c r="Q79" s="5">
        <f t="shared" si="9"/>
        <v>-34</v>
      </c>
      <c r="R79" s="16">
        <f t="shared" si="10"/>
        <v>3.4000000000000002E-2</v>
      </c>
    </row>
    <row r="80" spans="11:18" x14ac:dyDescent="0.3">
      <c r="K80" s="5">
        <v>69</v>
      </c>
      <c r="L80" s="11">
        <f t="shared" si="6"/>
        <v>909553640.68674946</v>
      </c>
      <c r="M80" s="11">
        <f t="shared" si="11"/>
        <v>4134330184.9397707</v>
      </c>
      <c r="N80" s="13">
        <f t="shared" si="7"/>
        <v>1725</v>
      </c>
      <c r="O80" s="17">
        <f t="shared" si="8"/>
        <v>527277.4728618837</v>
      </c>
      <c r="Q80" s="5">
        <f t="shared" si="9"/>
        <v>-34.5</v>
      </c>
      <c r="R80" s="16">
        <f t="shared" si="10"/>
        <v>3.4500000000000003E-2</v>
      </c>
    </row>
    <row r="81" spans="11:18" x14ac:dyDescent="0.3">
      <c r="K81" s="5">
        <v>70</v>
      </c>
      <c r="L81" s="11">
        <f t="shared" si="6"/>
        <v>1109655441.6378343</v>
      </c>
      <c r="M81" s="11">
        <f t="shared" si="11"/>
        <v>5043883825.6265202</v>
      </c>
      <c r="N81" s="13">
        <f t="shared" si="7"/>
        <v>1750</v>
      </c>
      <c r="O81" s="17">
        <f t="shared" si="8"/>
        <v>634088.82379304816</v>
      </c>
      <c r="Q81" s="5">
        <f t="shared" si="9"/>
        <v>-35</v>
      </c>
      <c r="R81" s="16">
        <f t="shared" si="10"/>
        <v>3.5000000000000003E-2</v>
      </c>
    </row>
    <row r="82" spans="11:18" x14ac:dyDescent="0.3">
      <c r="K82" s="5">
        <v>71</v>
      </c>
      <c r="L82" s="11">
        <f t="shared" si="6"/>
        <v>1353779638.7981577</v>
      </c>
      <c r="M82" s="11">
        <f t="shared" si="11"/>
        <v>6153539267.2643547</v>
      </c>
      <c r="N82" s="13">
        <f t="shared" si="7"/>
        <v>1775</v>
      </c>
      <c r="O82" s="17">
        <f t="shared" si="8"/>
        <v>762692.75425248325</v>
      </c>
      <c r="Q82" s="5">
        <f t="shared" si="9"/>
        <v>-35.5</v>
      </c>
      <c r="R82" s="16">
        <f t="shared" si="10"/>
        <v>3.5500000000000004E-2</v>
      </c>
    </row>
    <row r="83" spans="11:18" x14ac:dyDescent="0.3">
      <c r="K83" s="5">
        <v>72</v>
      </c>
      <c r="L83" s="11">
        <f t="shared" si="6"/>
        <v>1651611159.3337522</v>
      </c>
      <c r="M83" s="11">
        <f t="shared" si="11"/>
        <v>7507318906.0625124</v>
      </c>
      <c r="N83" s="13">
        <f t="shared" si="7"/>
        <v>1800</v>
      </c>
      <c r="O83" s="17">
        <f t="shared" si="8"/>
        <v>917561.75518541783</v>
      </c>
      <c r="Q83" s="5">
        <f t="shared" si="9"/>
        <v>-36</v>
      </c>
      <c r="R83" s="16">
        <f t="shared" si="10"/>
        <v>3.6000000000000004E-2</v>
      </c>
    </row>
    <row r="84" spans="11:18" x14ac:dyDescent="0.3">
      <c r="K84" s="5">
        <v>73</v>
      </c>
      <c r="L84" s="11">
        <f t="shared" si="6"/>
        <v>2014965614.3871779</v>
      </c>
      <c r="M84" s="11">
        <f t="shared" si="11"/>
        <v>9158930065.396265</v>
      </c>
      <c r="N84" s="13">
        <f t="shared" si="7"/>
        <v>1825</v>
      </c>
      <c r="O84" s="17">
        <f t="shared" si="8"/>
        <v>1104090.7476094125</v>
      </c>
      <c r="Q84" s="5">
        <f t="shared" si="9"/>
        <v>-36.5</v>
      </c>
      <c r="R84" s="16">
        <f t="shared" si="10"/>
        <v>3.6499999999999998E-2</v>
      </c>
    </row>
    <row r="85" spans="11:18" x14ac:dyDescent="0.3">
      <c r="K85" s="5">
        <v>74</v>
      </c>
      <c r="L85" s="11">
        <f t="shared" si="6"/>
        <v>2458258049.5523567</v>
      </c>
      <c r="M85" s="11">
        <f t="shared" si="11"/>
        <v>11173895679.783443</v>
      </c>
      <c r="N85" s="13">
        <f t="shared" si="7"/>
        <v>1850</v>
      </c>
      <c r="O85" s="17">
        <f t="shared" si="8"/>
        <v>1328788.1348931659</v>
      </c>
      <c r="Q85" s="5">
        <f t="shared" si="9"/>
        <v>-37</v>
      </c>
      <c r="R85" s="16">
        <f t="shared" si="10"/>
        <v>3.6999999999999998E-2</v>
      </c>
    </row>
    <row r="86" spans="11:18" x14ac:dyDescent="0.3">
      <c r="K86" s="5">
        <v>75</v>
      </c>
      <c r="L86" s="11">
        <f t="shared" si="6"/>
        <v>2999074820.4538746</v>
      </c>
      <c r="M86" s="11">
        <f t="shared" si="11"/>
        <v>13632153729.3358</v>
      </c>
      <c r="N86" s="13">
        <f t="shared" si="7"/>
        <v>1875</v>
      </c>
      <c r="O86" s="17">
        <f t="shared" si="8"/>
        <v>1599506.5709087332</v>
      </c>
      <c r="Q86" s="5">
        <f t="shared" si="9"/>
        <v>-37.5</v>
      </c>
      <c r="R86" s="16">
        <f t="shared" si="10"/>
        <v>3.7499999999999999E-2</v>
      </c>
    </row>
    <row r="87" spans="11:18" x14ac:dyDescent="0.3">
      <c r="K87" s="5">
        <v>76</v>
      </c>
      <c r="L87" s="11">
        <f t="shared" si="6"/>
        <v>3658871280.9537272</v>
      </c>
      <c r="M87" s="11">
        <f t="shared" si="11"/>
        <v>16631228549.789675</v>
      </c>
      <c r="N87" s="13">
        <f t="shared" si="7"/>
        <v>1900</v>
      </c>
      <c r="O87" s="17">
        <f t="shared" si="8"/>
        <v>1925721.7268177511</v>
      </c>
      <c r="Q87" s="5">
        <f t="shared" si="9"/>
        <v>-38</v>
      </c>
      <c r="R87" s="16">
        <f t="shared" si="10"/>
        <v>3.7999999999999999E-2</v>
      </c>
    </row>
    <row r="88" spans="11:18" x14ac:dyDescent="0.3">
      <c r="K88" s="5">
        <v>77</v>
      </c>
      <c r="L88" s="11">
        <f t="shared" si="6"/>
        <v>4463822962.7635469</v>
      </c>
      <c r="M88" s="11">
        <f t="shared" si="11"/>
        <v>20290099830.743401</v>
      </c>
      <c r="N88" s="13">
        <f t="shared" si="7"/>
        <v>1925</v>
      </c>
      <c r="O88" s="17">
        <f t="shared" si="8"/>
        <v>2318869.071565479</v>
      </c>
      <c r="Q88" s="5">
        <f t="shared" si="9"/>
        <v>-38.5</v>
      </c>
      <c r="R88" s="16">
        <f t="shared" si="10"/>
        <v>3.85E-2</v>
      </c>
    </row>
    <row r="89" spans="11:18" x14ac:dyDescent="0.3">
      <c r="K89" s="5">
        <v>78</v>
      </c>
      <c r="L89" s="11">
        <f t="shared" si="6"/>
        <v>5445864014.5715275</v>
      </c>
      <c r="M89" s="11">
        <f t="shared" si="11"/>
        <v>24753922793.506947</v>
      </c>
      <c r="N89" s="13">
        <f t="shared" si="7"/>
        <v>1950</v>
      </c>
      <c r="O89" s="17">
        <f t="shared" si="8"/>
        <v>2792750.7767033475</v>
      </c>
      <c r="Q89" s="5">
        <f t="shared" si="9"/>
        <v>-39</v>
      </c>
      <c r="R89" s="16">
        <f t="shared" si="10"/>
        <v>3.9E-2</v>
      </c>
    </row>
    <row r="90" spans="11:18" x14ac:dyDescent="0.3">
      <c r="K90" s="5">
        <v>79</v>
      </c>
      <c r="L90" s="11">
        <f t="shared" si="6"/>
        <v>6643954097.7772636</v>
      </c>
      <c r="M90" s="11">
        <f t="shared" si="11"/>
        <v>30199786808.078476</v>
      </c>
      <c r="N90" s="13">
        <f t="shared" si="7"/>
        <v>1975</v>
      </c>
      <c r="O90" s="17">
        <f t="shared" si="8"/>
        <v>3364027.3912796271</v>
      </c>
      <c r="Q90" s="5">
        <f t="shared" si="9"/>
        <v>-39.5</v>
      </c>
      <c r="R90" s="16">
        <f t="shared" si="10"/>
        <v>3.95E-2</v>
      </c>
    </row>
    <row r="91" spans="11:18" x14ac:dyDescent="0.3">
      <c r="K91" s="5">
        <v>80</v>
      </c>
      <c r="L91" s="11">
        <f t="shared" si="6"/>
        <v>8105623999.2882605</v>
      </c>
      <c r="M91" s="11">
        <f t="shared" si="11"/>
        <v>36843740905.855743</v>
      </c>
      <c r="N91" s="13">
        <f t="shared" si="7"/>
        <v>2000</v>
      </c>
      <c r="O91" s="17">
        <f t="shared" si="8"/>
        <v>4052811.99964413</v>
      </c>
      <c r="Q91" s="5">
        <f t="shared" si="9"/>
        <v>-40</v>
      </c>
      <c r="R91" s="16">
        <f t="shared" si="10"/>
        <v>0.04</v>
      </c>
    </row>
    <row r="92" spans="11:18" x14ac:dyDescent="0.3">
      <c r="K92" s="5">
        <v>81</v>
      </c>
      <c r="L92" s="11">
        <f t="shared" si="6"/>
        <v>9888861279.1316776</v>
      </c>
      <c r="M92" s="11">
        <f t="shared" si="11"/>
        <v>44949364905.144005</v>
      </c>
      <c r="N92" s="13">
        <f t="shared" si="7"/>
        <v>2025</v>
      </c>
      <c r="O92" s="17">
        <f t="shared" si="8"/>
        <v>4883388.2859909516</v>
      </c>
      <c r="Q92" s="5">
        <f t="shared" si="9"/>
        <v>-40.5</v>
      </c>
      <c r="R92" s="16">
        <f t="shared" si="10"/>
        <v>4.0500000000000001E-2</v>
      </c>
    </row>
    <row r="93" spans="11:18" x14ac:dyDescent="0.3">
      <c r="K93" s="5">
        <v>82</v>
      </c>
      <c r="L93" s="11">
        <f t="shared" si="6"/>
        <v>12064410760.540646</v>
      </c>
      <c r="M93" s="11">
        <f t="shared" si="11"/>
        <v>54838226184.275681</v>
      </c>
      <c r="N93" s="13">
        <f t="shared" si="7"/>
        <v>2050</v>
      </c>
      <c r="O93" s="17">
        <f t="shared" si="8"/>
        <v>5885078.4197759246</v>
      </c>
      <c r="Q93" s="5">
        <f t="shared" si="9"/>
        <v>-41</v>
      </c>
      <c r="R93" s="16">
        <f t="shared" si="10"/>
        <v>4.1000000000000002E-2</v>
      </c>
    </row>
    <row r="94" spans="11:18" x14ac:dyDescent="0.3">
      <c r="K94" s="5">
        <v>83</v>
      </c>
      <c r="L94" s="11">
        <f t="shared" si="6"/>
        <v>14718581127.859587</v>
      </c>
      <c r="M94" s="11">
        <f t="shared" si="11"/>
        <v>66902636944.81633</v>
      </c>
      <c r="N94" s="13">
        <f t="shared" si="7"/>
        <v>2075</v>
      </c>
      <c r="O94" s="17">
        <f t="shared" si="8"/>
        <v>7093292.109811849</v>
      </c>
      <c r="Q94" s="5">
        <f t="shared" si="9"/>
        <v>-41.5</v>
      </c>
      <c r="R94" s="16">
        <f t="shared" si="10"/>
        <v>4.1500000000000002E-2</v>
      </c>
    </row>
    <row r="95" spans="11:18" x14ac:dyDescent="0.3">
      <c r="K95" s="5">
        <v>84</v>
      </c>
      <c r="L95" s="11">
        <f t="shared" si="6"/>
        <v>17956668975.988693</v>
      </c>
      <c r="M95" s="11">
        <f t="shared" si="11"/>
        <v>81621218072.675919</v>
      </c>
      <c r="N95" s="13">
        <f t="shared" si="7"/>
        <v>2100</v>
      </c>
      <c r="O95" s="17">
        <f t="shared" si="8"/>
        <v>8550794.7504708059</v>
      </c>
      <c r="Q95" s="5">
        <f t="shared" si="9"/>
        <v>-42</v>
      </c>
      <c r="R95" s="16">
        <f t="shared" si="10"/>
        <v>4.2000000000000003E-2</v>
      </c>
    </row>
    <row r="96" spans="11:18" x14ac:dyDescent="0.3">
      <c r="K96" s="5">
        <v>85</v>
      </c>
      <c r="L96" s="11">
        <f t="shared" si="6"/>
        <v>21907136150.706207</v>
      </c>
      <c r="M96" s="11">
        <f t="shared" si="11"/>
        <v>99577887048.664612</v>
      </c>
      <c r="N96" s="13">
        <f t="shared" si="7"/>
        <v>2125</v>
      </c>
      <c r="O96" s="17">
        <f t="shared" si="8"/>
        <v>10309240.541508803</v>
      </c>
      <c r="Q96" s="5">
        <f t="shared" si="9"/>
        <v>-42.5</v>
      </c>
      <c r="R96" s="16">
        <f t="shared" si="10"/>
        <v>4.2500000000000003E-2</v>
      </c>
    </row>
    <row r="97" spans="11:18" x14ac:dyDescent="0.3">
      <c r="K97" s="5">
        <v>86</v>
      </c>
      <c r="L97" s="11">
        <f t="shared" si="6"/>
        <v>26726706103.861572</v>
      </c>
      <c r="M97" s="11">
        <f t="shared" si="11"/>
        <v>121485023199.37082</v>
      </c>
      <c r="N97" s="13">
        <f t="shared" si="7"/>
        <v>2150</v>
      </c>
      <c r="O97" s="17">
        <f t="shared" si="8"/>
        <v>12431026.094819335</v>
      </c>
      <c r="Q97" s="5">
        <f t="shared" si="9"/>
        <v>-43</v>
      </c>
      <c r="R97" s="16">
        <f t="shared" si="10"/>
        <v>4.3000000000000003E-2</v>
      </c>
    </row>
    <row r="98" spans="11:18" x14ac:dyDescent="0.3">
      <c r="K98" s="5">
        <v>87</v>
      </c>
      <c r="L98" s="11">
        <f t="shared" si="6"/>
        <v>32606581446.711121</v>
      </c>
      <c r="M98" s="11">
        <f t="shared" si="11"/>
        <v>148211729303.23239</v>
      </c>
      <c r="N98" s="13">
        <f t="shared" si="7"/>
        <v>2175</v>
      </c>
      <c r="O98" s="17">
        <f t="shared" si="8"/>
        <v>14991531.699637298</v>
      </c>
      <c r="Q98" s="5">
        <f t="shared" si="9"/>
        <v>-43.5</v>
      </c>
      <c r="R98" s="16">
        <f t="shared" si="10"/>
        <v>4.3500000000000004E-2</v>
      </c>
    </row>
    <row r="99" spans="11:18" x14ac:dyDescent="0.3">
      <c r="K99" s="5">
        <v>88</v>
      </c>
      <c r="L99" s="11">
        <f t="shared" si="6"/>
        <v>39780029364.987556</v>
      </c>
      <c r="M99" s="11">
        <f t="shared" si="11"/>
        <v>180818310749.94351</v>
      </c>
      <c r="N99" s="13">
        <f t="shared" si="7"/>
        <v>2200</v>
      </c>
      <c r="O99" s="17">
        <f t="shared" si="8"/>
        <v>18081831.529539797</v>
      </c>
      <c r="Q99" s="5">
        <f t="shared" si="9"/>
        <v>-44</v>
      </c>
      <c r="R99" s="16">
        <f t="shared" si="10"/>
        <v>4.3999999999999997E-2</v>
      </c>
    </row>
    <row r="100" spans="11:18" x14ac:dyDescent="0.3">
      <c r="K100" s="5">
        <v>89</v>
      </c>
      <c r="L100" s="11">
        <f t="shared" si="6"/>
        <v>48531635825.284821</v>
      </c>
      <c r="M100" s="11">
        <f t="shared" si="11"/>
        <v>220598340114.93106</v>
      </c>
      <c r="N100" s="13">
        <f t="shared" si="7"/>
        <v>2225</v>
      </c>
      <c r="O100" s="17">
        <f t="shared" si="8"/>
        <v>21811971.157431379</v>
      </c>
      <c r="Q100" s="5">
        <f t="shared" si="9"/>
        <v>-44.5</v>
      </c>
      <c r="R100" s="16">
        <f t="shared" si="10"/>
        <v>4.4499999999999998E-2</v>
      </c>
    </row>
    <row r="101" spans="11:18" x14ac:dyDescent="0.3">
      <c r="K101" s="5">
        <v>90</v>
      </c>
      <c r="L101" s="11">
        <f t="shared" si="6"/>
        <v>59208595706.847481</v>
      </c>
      <c r="M101" s="11">
        <f t="shared" si="11"/>
        <v>269129975940.21588</v>
      </c>
      <c r="N101" s="13">
        <f t="shared" si="7"/>
        <v>2250</v>
      </c>
      <c r="O101" s="17">
        <f t="shared" si="8"/>
        <v>26314931.425265547</v>
      </c>
      <c r="Q101" s="5">
        <f t="shared" si="9"/>
        <v>-45</v>
      </c>
      <c r="R101" s="16">
        <f t="shared" si="10"/>
        <v>4.4999999999999998E-2</v>
      </c>
    </row>
    <row r="102" spans="11:18" x14ac:dyDescent="0.3">
      <c r="K102" s="5">
        <v>91</v>
      </c>
      <c r="L102" s="11">
        <f t="shared" si="6"/>
        <v>72234486762.353912</v>
      </c>
      <c r="M102" s="11">
        <f t="shared" si="11"/>
        <v>328338571647.06335</v>
      </c>
      <c r="N102" s="13">
        <f t="shared" si="7"/>
        <v>2275</v>
      </c>
      <c r="O102" s="17">
        <f t="shared" si="8"/>
        <v>31751422.75268304</v>
      </c>
      <c r="Q102" s="5">
        <f t="shared" si="9"/>
        <v>-45.5</v>
      </c>
      <c r="R102" s="16">
        <f t="shared" si="10"/>
        <v>4.5499999999999999E-2</v>
      </c>
    </row>
    <row r="103" spans="11:18" x14ac:dyDescent="0.3">
      <c r="K103" s="5">
        <v>92</v>
      </c>
      <c r="L103" s="11">
        <f t="shared" si="6"/>
        <v>88126073850.071793</v>
      </c>
      <c r="M103" s="11">
        <f t="shared" si="11"/>
        <v>400573058409.41724</v>
      </c>
      <c r="N103" s="13">
        <f t="shared" si="7"/>
        <v>2300</v>
      </c>
      <c r="O103" s="17">
        <f t="shared" si="8"/>
        <v>38315684.282639913</v>
      </c>
      <c r="Q103" s="5">
        <f t="shared" si="9"/>
        <v>-46</v>
      </c>
      <c r="R103" s="16">
        <f t="shared" si="10"/>
        <v>4.5999999999999999E-2</v>
      </c>
    </row>
    <row r="104" spans="11:18" x14ac:dyDescent="0.3">
      <c r="K104" s="5">
        <v>93</v>
      </c>
      <c r="L104" s="11">
        <f t="shared" si="6"/>
        <v>107513810097.08755</v>
      </c>
      <c r="M104" s="11">
        <f t="shared" si="11"/>
        <v>488699132259.48901</v>
      </c>
      <c r="N104" s="13">
        <f t="shared" si="7"/>
        <v>2325</v>
      </c>
      <c r="O104" s="17">
        <f t="shared" si="8"/>
        <v>46242498.96648927</v>
      </c>
      <c r="Q104" s="5">
        <f t="shared" si="9"/>
        <v>-46.5</v>
      </c>
      <c r="R104" s="16">
        <f t="shared" si="10"/>
        <v>4.65E-2</v>
      </c>
    </row>
    <row r="105" spans="11:18" x14ac:dyDescent="0.3">
      <c r="K105" s="5">
        <v>94</v>
      </c>
      <c r="L105" s="11">
        <f t="shared" si="6"/>
        <v>131166848318.44681</v>
      </c>
      <c r="M105" s="11">
        <f t="shared" si="11"/>
        <v>596212942356.57654</v>
      </c>
      <c r="N105" s="13">
        <f t="shared" si="7"/>
        <v>2350</v>
      </c>
      <c r="O105" s="17">
        <f t="shared" si="8"/>
        <v>55815680.135509282</v>
      </c>
      <c r="Q105" s="5">
        <f t="shared" si="9"/>
        <v>-47</v>
      </c>
      <c r="R105" s="16">
        <f t="shared" si="10"/>
        <v>4.7E-2</v>
      </c>
    </row>
    <row r="106" spans="11:18" x14ac:dyDescent="0.3">
      <c r="K106" s="5">
        <v>95</v>
      </c>
      <c r="L106" s="11">
        <f t="shared" si="6"/>
        <v>160023554948.50513</v>
      </c>
      <c r="M106" s="11">
        <f t="shared" si="11"/>
        <v>727379790675.02332</v>
      </c>
      <c r="N106" s="13">
        <f t="shared" si="7"/>
        <v>2375</v>
      </c>
      <c r="O106" s="17">
        <f t="shared" si="8"/>
        <v>67378338.925686374</v>
      </c>
      <c r="Q106" s="5">
        <f t="shared" si="9"/>
        <v>-47.5</v>
      </c>
      <c r="R106" s="16">
        <f t="shared" si="10"/>
        <v>4.7500000000000001E-2</v>
      </c>
    </row>
    <row r="107" spans="11:18" x14ac:dyDescent="0.3">
      <c r="K107" s="5">
        <v>96</v>
      </c>
      <c r="L107" s="11">
        <f t="shared" si="6"/>
        <v>195228737037.17621</v>
      </c>
      <c r="M107" s="11">
        <f t="shared" si="11"/>
        <v>887403345623.52844</v>
      </c>
      <c r="N107" s="13">
        <f t="shared" si="7"/>
        <v>2400</v>
      </c>
      <c r="O107" s="17">
        <f t="shared" si="8"/>
        <v>81345307.098823413</v>
      </c>
      <c r="Q107" s="5">
        <f t="shared" si="9"/>
        <v>-48</v>
      </c>
      <c r="R107" s="16">
        <f t="shared" si="10"/>
        <v>4.8000000000000001E-2</v>
      </c>
    </row>
    <row r="108" spans="11:18" x14ac:dyDescent="0.3">
      <c r="K108" s="5">
        <v>97</v>
      </c>
      <c r="L108" s="11">
        <f t="shared" si="6"/>
        <v>238179059185.35501</v>
      </c>
      <c r="M108" s="11">
        <f t="shared" si="11"/>
        <v>1082632082660.7046</v>
      </c>
      <c r="N108" s="13">
        <f t="shared" si="7"/>
        <v>2425</v>
      </c>
      <c r="O108" s="17">
        <f t="shared" si="8"/>
        <v>98218168.736228868</v>
      </c>
      <c r="Q108" s="5">
        <f t="shared" si="9"/>
        <v>-48.5</v>
      </c>
      <c r="R108" s="16">
        <f t="shared" si="10"/>
        <v>4.8500000000000001E-2</v>
      </c>
    </row>
    <row r="109" spans="11:18" x14ac:dyDescent="0.3">
      <c r="K109" s="5">
        <v>98</v>
      </c>
      <c r="L109" s="11">
        <f t="shared" si="6"/>
        <v>290578452206.13306</v>
      </c>
      <c r="M109" s="11">
        <f t="shared" si="11"/>
        <v>1320811141846.0596</v>
      </c>
      <c r="N109" s="13">
        <f t="shared" si="7"/>
        <v>2450</v>
      </c>
      <c r="O109" s="17">
        <f t="shared" si="8"/>
        <v>118603449.88005431</v>
      </c>
      <c r="Q109" s="5">
        <f t="shared" si="9"/>
        <v>-49</v>
      </c>
      <c r="R109" s="16">
        <f t="shared" si="10"/>
        <v>4.9000000000000002E-2</v>
      </c>
    </row>
    <row r="110" spans="11:18" x14ac:dyDescent="0.3">
      <c r="K110" s="5">
        <v>99</v>
      </c>
      <c r="L110" s="11">
        <f t="shared" si="6"/>
        <v>354505711691.48236</v>
      </c>
      <c r="M110" s="11">
        <f t="shared" si="11"/>
        <v>1611389594052.1926</v>
      </c>
      <c r="N110" s="13">
        <f t="shared" si="7"/>
        <v>2475</v>
      </c>
      <c r="O110" s="17">
        <f t="shared" si="8"/>
        <v>143234630.98645753</v>
      </c>
      <c r="Q110" s="5">
        <f t="shared" si="9"/>
        <v>-49.5</v>
      </c>
      <c r="R110" s="16">
        <f t="shared" si="10"/>
        <v>4.9500000000000002E-2</v>
      </c>
    </row>
    <row r="111" spans="11:18" x14ac:dyDescent="0.3">
      <c r="K111" s="5">
        <v>100</v>
      </c>
      <c r="L111" s="11">
        <f t="shared" si="6"/>
        <v>432496968263.60846</v>
      </c>
      <c r="M111" s="11">
        <f t="shared" si="11"/>
        <v>1965895305743.675</v>
      </c>
      <c r="N111" s="13">
        <f t="shared" si="7"/>
        <v>2500</v>
      </c>
      <c r="O111" s="17">
        <f t="shared" si="8"/>
        <v>172998787.30544338</v>
      </c>
      <c r="Q111" s="5">
        <f t="shared" si="9"/>
        <v>-50</v>
      </c>
      <c r="R111" s="16">
        <f t="shared" si="10"/>
        <v>0.05</v>
      </c>
    </row>
    <row r="112" spans="11:18" x14ac:dyDescent="0.3">
      <c r="K112" s="5">
        <v>101</v>
      </c>
      <c r="L112" s="11">
        <f t="shared" si="6"/>
        <v>527646301281.60223</v>
      </c>
      <c r="M112" s="11">
        <f t="shared" si="11"/>
        <v>2398392274007.2837</v>
      </c>
      <c r="N112" s="13">
        <f t="shared" si="7"/>
        <v>2525</v>
      </c>
      <c r="O112" s="17">
        <f t="shared" si="8"/>
        <v>208968832.19073355</v>
      </c>
      <c r="Q112" s="5">
        <f t="shared" si="9"/>
        <v>-50.5</v>
      </c>
      <c r="R112" s="16">
        <f t="shared" si="10"/>
        <v>5.0500000000000003E-2</v>
      </c>
    </row>
    <row r="113" spans="11:18" x14ac:dyDescent="0.3">
      <c r="K113" s="5">
        <v>102</v>
      </c>
      <c r="L113" s="11">
        <f t="shared" si="6"/>
        <v>643728487563.55469</v>
      </c>
      <c r="M113" s="11">
        <f t="shared" si="11"/>
        <v>2926038575288.8857</v>
      </c>
      <c r="N113" s="13">
        <f t="shared" si="7"/>
        <v>2550</v>
      </c>
      <c r="O113" s="17">
        <f t="shared" si="8"/>
        <v>252442544.14257047</v>
      </c>
      <c r="Q113" s="5">
        <f t="shared" si="9"/>
        <v>-51</v>
      </c>
      <c r="R113" s="16">
        <f t="shared" si="10"/>
        <v>5.1000000000000004E-2</v>
      </c>
    </row>
    <row r="114" spans="11:18" x14ac:dyDescent="0.3">
      <c r="K114" s="5">
        <v>103</v>
      </c>
      <c r="L114" s="11">
        <f t="shared" si="6"/>
        <v>785348754827.53687</v>
      </c>
      <c r="M114" s="11">
        <f t="shared" si="11"/>
        <v>3569767062852.4404</v>
      </c>
      <c r="N114" s="13">
        <f t="shared" si="7"/>
        <v>2575</v>
      </c>
      <c r="O114" s="17">
        <f t="shared" si="8"/>
        <v>304989807.70001429</v>
      </c>
      <c r="Q114" s="5">
        <f t="shared" si="9"/>
        <v>-51.5</v>
      </c>
      <c r="R114" s="16">
        <f t="shared" si="10"/>
        <v>5.1500000000000004E-2</v>
      </c>
    </row>
    <row r="115" spans="11:18" x14ac:dyDescent="0.3">
      <c r="K115" s="5">
        <v>104</v>
      </c>
      <c r="L115" s="11">
        <f t="shared" si="6"/>
        <v>958125480889.59473</v>
      </c>
      <c r="M115" s="11">
        <f t="shared" si="11"/>
        <v>4355115817679.9775</v>
      </c>
      <c r="N115" s="13">
        <f t="shared" si="7"/>
        <v>2600</v>
      </c>
      <c r="O115" s="17">
        <f t="shared" si="8"/>
        <v>368509800.34215182</v>
      </c>
      <c r="Q115" s="5">
        <f t="shared" si="9"/>
        <v>-52</v>
      </c>
      <c r="R115" s="16">
        <f t="shared" si="10"/>
        <v>5.2000000000000005E-2</v>
      </c>
    </row>
    <row r="116" spans="11:18" x14ac:dyDescent="0.3">
      <c r="K116" s="5">
        <v>105</v>
      </c>
      <c r="L116" s="11">
        <f t="shared" si="6"/>
        <v>1168913086685.3057</v>
      </c>
      <c r="M116" s="11">
        <f t="shared" si="11"/>
        <v>5313241298569.5723</v>
      </c>
      <c r="N116" s="13">
        <f t="shared" si="7"/>
        <v>2625</v>
      </c>
      <c r="O116" s="17">
        <f t="shared" si="8"/>
        <v>445300223.49916404</v>
      </c>
      <c r="Q116" s="5">
        <f t="shared" si="9"/>
        <v>-52.5</v>
      </c>
      <c r="R116" s="16">
        <f t="shared" si="10"/>
        <v>5.2499999999999998E-2</v>
      </c>
    </row>
    <row r="117" spans="11:18" x14ac:dyDescent="0.3">
      <c r="K117" s="5">
        <v>106</v>
      </c>
      <c r="L117" s="11">
        <f t="shared" si="6"/>
        <v>1426073965756.0725</v>
      </c>
      <c r="M117" s="11">
        <f t="shared" si="11"/>
        <v>6482154385254.8779</v>
      </c>
      <c r="N117" s="13">
        <f t="shared" si="7"/>
        <v>2650</v>
      </c>
      <c r="O117" s="17">
        <f t="shared" si="8"/>
        <v>538141119.15323496</v>
      </c>
      <c r="Q117" s="5">
        <f t="shared" si="9"/>
        <v>-53</v>
      </c>
      <c r="R117" s="16">
        <f t="shared" si="10"/>
        <v>5.2999999999999999E-2</v>
      </c>
    </row>
    <row r="118" spans="11:18" x14ac:dyDescent="0.3">
      <c r="K118" s="5">
        <v>107</v>
      </c>
      <c r="L118" s="11">
        <f t="shared" si="6"/>
        <v>1739810238222.4087</v>
      </c>
      <c r="M118" s="11">
        <f t="shared" si="11"/>
        <v>7908228351010.9502</v>
      </c>
      <c r="N118" s="13">
        <f t="shared" si="7"/>
        <v>2675</v>
      </c>
      <c r="O118" s="17">
        <f t="shared" si="8"/>
        <v>650396350.73734903</v>
      </c>
      <c r="Q118" s="5">
        <f t="shared" si="9"/>
        <v>-53.5</v>
      </c>
      <c r="R118" s="16">
        <f t="shared" si="10"/>
        <v>5.3499999999999999E-2</v>
      </c>
    </row>
    <row r="119" spans="11:18" x14ac:dyDescent="0.3">
      <c r="K119" s="5">
        <v>108</v>
      </c>
      <c r="L119" s="11">
        <f t="shared" si="6"/>
        <v>2122568490631.3384</v>
      </c>
      <c r="M119" s="11">
        <f t="shared" si="11"/>
        <v>9648038589233.3594</v>
      </c>
      <c r="N119" s="13">
        <f t="shared" si="7"/>
        <v>2700</v>
      </c>
      <c r="O119" s="17">
        <f t="shared" si="8"/>
        <v>786136478.01160681</v>
      </c>
      <c r="Q119" s="5">
        <f t="shared" si="9"/>
        <v>-54</v>
      </c>
      <c r="R119" s="16">
        <f t="shared" si="10"/>
        <v>5.3999999999999999E-2</v>
      </c>
    </row>
    <row r="120" spans="11:18" x14ac:dyDescent="0.3">
      <c r="K120" s="5">
        <v>109</v>
      </c>
      <c r="L120" s="11">
        <f t="shared" si="6"/>
        <v>2589533558570.2329</v>
      </c>
      <c r="M120" s="11">
        <f t="shared" si="11"/>
        <v>11770607079864.697</v>
      </c>
      <c r="N120" s="13">
        <f t="shared" si="7"/>
        <v>2725</v>
      </c>
      <c r="O120" s="17">
        <f t="shared" si="8"/>
        <v>950287544.42944324</v>
      </c>
      <c r="Q120" s="5">
        <f t="shared" si="9"/>
        <v>-54.5</v>
      </c>
      <c r="R120" s="16">
        <f t="shared" si="10"/>
        <v>5.45E-2</v>
      </c>
    </row>
    <row r="121" spans="11:18" x14ac:dyDescent="0.3">
      <c r="K121" s="5">
        <v>110</v>
      </c>
      <c r="L121" s="11">
        <f t="shared" si="6"/>
        <v>3159230941455.6836</v>
      </c>
      <c r="M121" s="11">
        <f t="shared" si="11"/>
        <v>14360140638434.93</v>
      </c>
      <c r="N121" s="13">
        <f t="shared" si="7"/>
        <v>2750</v>
      </c>
      <c r="O121" s="17">
        <f t="shared" si="8"/>
        <v>1148811251.4384303</v>
      </c>
      <c r="Q121" s="5">
        <f t="shared" si="9"/>
        <v>-55</v>
      </c>
      <c r="R121" s="16">
        <f t="shared" si="10"/>
        <v>5.5E-2</v>
      </c>
    </row>
    <row r="122" spans="11:18" x14ac:dyDescent="0.3">
      <c r="K122" s="5">
        <v>111</v>
      </c>
      <c r="L122" s="11">
        <f t="shared" si="6"/>
        <v>3854261748575.9346</v>
      </c>
      <c r="M122" s="11">
        <f t="shared" si="11"/>
        <v>17519371579890.613</v>
      </c>
      <c r="N122" s="13">
        <f t="shared" si="7"/>
        <v>2775</v>
      </c>
      <c r="O122" s="17">
        <f t="shared" si="8"/>
        <v>1388923152.6399765</v>
      </c>
      <c r="Q122" s="5">
        <f t="shared" si="9"/>
        <v>-55.5</v>
      </c>
      <c r="R122" s="16">
        <f t="shared" si="10"/>
        <v>5.5500000000000001E-2</v>
      </c>
    </row>
    <row r="123" spans="11:18" x14ac:dyDescent="0.3">
      <c r="K123" s="5">
        <v>112</v>
      </c>
      <c r="L123" s="11">
        <f t="shared" si="6"/>
        <v>4702199333262.6387</v>
      </c>
      <c r="M123" s="11">
        <f t="shared" si="11"/>
        <v>21373633328466.547</v>
      </c>
      <c r="N123" s="13">
        <f t="shared" si="7"/>
        <v>2800</v>
      </c>
      <c r="O123" s="17">
        <f t="shared" si="8"/>
        <v>1679356904.7366567</v>
      </c>
      <c r="Q123" s="5">
        <f t="shared" si="9"/>
        <v>-56</v>
      </c>
      <c r="R123" s="16">
        <f t="shared" si="10"/>
        <v>5.6000000000000001E-2</v>
      </c>
    </row>
    <row r="124" spans="11:18" x14ac:dyDescent="0.3">
      <c r="K124" s="5">
        <v>113</v>
      </c>
      <c r="L124" s="11">
        <f t="shared" si="6"/>
        <v>5736683186580.4199</v>
      </c>
      <c r="M124" s="11">
        <f t="shared" si="11"/>
        <v>26075832661729.188</v>
      </c>
      <c r="N124" s="13">
        <f t="shared" si="7"/>
        <v>2825</v>
      </c>
      <c r="O124" s="17">
        <f t="shared" si="8"/>
        <v>2030684313.833777</v>
      </c>
      <c r="Q124" s="5">
        <f t="shared" si="9"/>
        <v>-56.5</v>
      </c>
      <c r="R124" s="16">
        <f t="shared" si="10"/>
        <v>5.6500000000000002E-2</v>
      </c>
    </row>
    <row r="125" spans="11:18" x14ac:dyDescent="0.3">
      <c r="K125" s="5">
        <v>114</v>
      </c>
      <c r="L125" s="11">
        <f t="shared" si="6"/>
        <v>6998753487628.1123</v>
      </c>
      <c r="M125" s="11">
        <f t="shared" si="11"/>
        <v>31812515848309.609</v>
      </c>
      <c r="N125" s="13">
        <f t="shared" si="7"/>
        <v>2850</v>
      </c>
      <c r="O125" s="17">
        <f t="shared" si="8"/>
        <v>2455702978.1151271</v>
      </c>
      <c r="Q125" s="5">
        <f t="shared" si="9"/>
        <v>-57</v>
      </c>
      <c r="R125" s="16">
        <f t="shared" si="10"/>
        <v>5.7000000000000002E-2</v>
      </c>
    </row>
    <row r="126" spans="11:18" x14ac:dyDescent="0.3">
      <c r="K126" s="5">
        <v>115</v>
      </c>
      <c r="L126" s="11">
        <f t="shared" si="6"/>
        <v>8538479254906.2959</v>
      </c>
      <c r="M126" s="11">
        <f t="shared" si="11"/>
        <v>38811269335937.719</v>
      </c>
      <c r="N126" s="13">
        <f t="shared" si="7"/>
        <v>2875</v>
      </c>
      <c r="O126" s="17">
        <f t="shared" si="8"/>
        <v>2969905827.7934942</v>
      </c>
      <c r="Q126" s="5">
        <f t="shared" si="9"/>
        <v>-57.5</v>
      </c>
      <c r="R126" s="16">
        <f t="shared" si="10"/>
        <v>5.7500000000000002E-2</v>
      </c>
    </row>
    <row r="127" spans="11:18" x14ac:dyDescent="0.3">
      <c r="K127" s="5">
        <v>116</v>
      </c>
      <c r="L127" s="11">
        <f t="shared" si="6"/>
        <v>10416944690985.68</v>
      </c>
      <c r="M127" s="11">
        <f t="shared" si="11"/>
        <v>47349748590844.016</v>
      </c>
      <c r="N127" s="13">
        <f t="shared" si="7"/>
        <v>2900</v>
      </c>
      <c r="O127" s="17">
        <f t="shared" si="8"/>
        <v>3592049893.4433379</v>
      </c>
      <c r="Q127" s="5">
        <f t="shared" si="9"/>
        <v>-58</v>
      </c>
      <c r="R127" s="16">
        <f t="shared" si="10"/>
        <v>5.8000000000000003E-2</v>
      </c>
    </row>
    <row r="128" spans="11:18" x14ac:dyDescent="0.3">
      <c r="K128" s="5">
        <v>117</v>
      </c>
      <c r="L128" s="11">
        <f t="shared" si="6"/>
        <v>12708672523002.529</v>
      </c>
      <c r="M128" s="11">
        <f t="shared" si="11"/>
        <v>57766693281829.695</v>
      </c>
      <c r="N128" s="13">
        <f t="shared" si="7"/>
        <v>2925</v>
      </c>
      <c r="O128" s="17">
        <f t="shared" si="8"/>
        <v>4344845307.0094118</v>
      </c>
      <c r="Q128" s="5">
        <f t="shared" si="9"/>
        <v>-58.5</v>
      </c>
      <c r="R128" s="16">
        <f t="shared" si="10"/>
        <v>5.8500000000000003E-2</v>
      </c>
    </row>
    <row r="129" spans="11:18" x14ac:dyDescent="0.3">
      <c r="K129" s="5">
        <v>118</v>
      </c>
      <c r="L129" s="11">
        <f t="shared" si="6"/>
        <v>15504580478063.086</v>
      </c>
      <c r="M129" s="11">
        <f t="shared" si="11"/>
        <v>70475365804832.219</v>
      </c>
      <c r="N129" s="13">
        <f t="shared" si="7"/>
        <v>2950</v>
      </c>
      <c r="O129" s="17">
        <f t="shared" si="8"/>
        <v>5255789992.5637579</v>
      </c>
      <c r="Q129" s="5">
        <f t="shared" si="9"/>
        <v>-59</v>
      </c>
      <c r="R129" s="16">
        <f t="shared" si="10"/>
        <v>5.9000000000000004E-2</v>
      </c>
    </row>
    <row r="130" spans="11:18" x14ac:dyDescent="0.3">
      <c r="K130" s="5">
        <v>119</v>
      </c>
      <c r="L130" s="11">
        <f t="shared" si="6"/>
        <v>18915588183236.965</v>
      </c>
      <c r="M130" s="11">
        <f t="shared" si="11"/>
        <v>85979946282895.313</v>
      </c>
      <c r="N130" s="13">
        <f t="shared" si="7"/>
        <v>2975</v>
      </c>
      <c r="O130" s="17">
        <f t="shared" si="8"/>
        <v>6358180901.9283915</v>
      </c>
      <c r="Q130" s="5">
        <f t="shared" si="9"/>
        <v>-59.5</v>
      </c>
      <c r="R130" s="16">
        <f t="shared" si="10"/>
        <v>5.9500000000000004E-2</v>
      </c>
    </row>
    <row r="131" spans="11:18" x14ac:dyDescent="0.3">
      <c r="K131" s="5">
        <v>120</v>
      </c>
      <c r="L131" s="11">
        <f t="shared" si="6"/>
        <v>23077017583549.094</v>
      </c>
      <c r="M131" s="11">
        <f t="shared" si="11"/>
        <v>104895534466132.28</v>
      </c>
      <c r="N131" s="13">
        <f t="shared" si="7"/>
        <v>3000</v>
      </c>
      <c r="O131" s="17">
        <f t="shared" si="8"/>
        <v>7692339194.5163651</v>
      </c>
      <c r="Q131" s="5">
        <f t="shared" si="9"/>
        <v>-60</v>
      </c>
      <c r="R131" s="16">
        <f t="shared" si="10"/>
        <v>0.06</v>
      </c>
    </row>
    <row r="132" spans="11:18" x14ac:dyDescent="0.3">
      <c r="K132" s="5">
        <v>121</v>
      </c>
      <c r="L132" s="11">
        <f t="shared" si="6"/>
        <v>28153961451929.895</v>
      </c>
      <c r="M132" s="11">
        <f t="shared" si="11"/>
        <v>127972552049681.38</v>
      </c>
      <c r="N132" s="13">
        <f t="shared" si="7"/>
        <v>3025</v>
      </c>
      <c r="O132" s="17">
        <f t="shared" si="8"/>
        <v>9307094694.8528576</v>
      </c>
      <c r="Q132" s="5">
        <f t="shared" si="9"/>
        <v>-60.5</v>
      </c>
      <c r="R132" s="16">
        <f t="shared" si="10"/>
        <v>6.0499999999999998E-2</v>
      </c>
    </row>
    <row r="133" spans="11:18" x14ac:dyDescent="0.3">
      <c r="K133" s="5">
        <v>122</v>
      </c>
      <c r="L133" s="11">
        <f t="shared" si="6"/>
        <v>34347832971354.473</v>
      </c>
      <c r="M133" s="11">
        <f t="shared" si="11"/>
        <v>156126513501611.28</v>
      </c>
      <c r="N133" s="13">
        <f t="shared" si="7"/>
        <v>3050</v>
      </c>
      <c r="O133" s="17">
        <f t="shared" si="8"/>
        <v>11261584580.771957</v>
      </c>
      <c r="Q133" s="5">
        <f t="shared" si="9"/>
        <v>-61</v>
      </c>
      <c r="R133" s="16">
        <f t="shared" si="10"/>
        <v>6.0999999999999999E-2</v>
      </c>
    </row>
    <row r="134" spans="11:18" x14ac:dyDescent="0.3">
      <c r="K134" s="5">
        <v>123</v>
      </c>
      <c r="L134" s="11">
        <f t="shared" si="6"/>
        <v>41904356225052.453</v>
      </c>
      <c r="M134" s="11">
        <f t="shared" si="11"/>
        <v>190474346472965.75</v>
      </c>
      <c r="N134" s="13">
        <f t="shared" si="7"/>
        <v>3075</v>
      </c>
      <c r="O134" s="17">
        <f t="shared" si="8"/>
        <v>13627432918.716246</v>
      </c>
      <c r="Q134" s="5">
        <f t="shared" si="9"/>
        <v>-61.5</v>
      </c>
      <c r="R134" s="16">
        <f t="shared" si="10"/>
        <v>6.1499999999999999E-2</v>
      </c>
    </row>
    <row r="135" spans="11:18" x14ac:dyDescent="0.3">
      <c r="K135" s="5">
        <v>124</v>
      </c>
      <c r="L135" s="11">
        <f t="shared" si="6"/>
        <v>51123314594563.984</v>
      </c>
      <c r="M135" s="11">
        <f t="shared" si="11"/>
        <v>232378702698018.19</v>
      </c>
      <c r="N135" s="13">
        <f t="shared" si="7"/>
        <v>3100</v>
      </c>
      <c r="O135" s="17">
        <f t="shared" si="8"/>
        <v>16491391804.698059</v>
      </c>
      <c r="Q135" s="5">
        <f t="shared" si="9"/>
        <v>-62</v>
      </c>
      <c r="R135" s="16">
        <f t="shared" si="10"/>
        <v>6.2E-2</v>
      </c>
    </row>
    <row r="136" spans="11:18" x14ac:dyDescent="0.3">
      <c r="K136" s="5">
        <v>125</v>
      </c>
      <c r="L136" s="11">
        <f t="shared" si="6"/>
        <v>62370443805368.063</v>
      </c>
      <c r="M136" s="11">
        <f t="shared" si="11"/>
        <v>283502017292582.19</v>
      </c>
      <c r="N136" s="13">
        <f t="shared" si="7"/>
        <v>3125</v>
      </c>
      <c r="O136" s="17">
        <f t="shared" si="8"/>
        <v>19958542017.717781</v>
      </c>
      <c r="Q136" s="5">
        <f t="shared" si="9"/>
        <v>-62.5</v>
      </c>
      <c r="R136" s="16">
        <f t="shared" si="10"/>
        <v>6.25E-2</v>
      </c>
    </row>
    <row r="137" spans="11:18" x14ac:dyDescent="0.3">
      <c r="K137" s="5">
        <v>126</v>
      </c>
      <c r="L137" s="11">
        <f t="shared" si="6"/>
        <v>76091941442549.031</v>
      </c>
      <c r="M137" s="11">
        <f t="shared" si="11"/>
        <v>345872461097950.25</v>
      </c>
      <c r="N137" s="13">
        <f t="shared" si="7"/>
        <v>3150</v>
      </c>
      <c r="O137" s="17">
        <f t="shared" si="8"/>
        <v>24156171886.523502</v>
      </c>
      <c r="Q137" s="5">
        <f t="shared" si="9"/>
        <v>-63</v>
      </c>
      <c r="R137" s="16">
        <f t="shared" si="10"/>
        <v>6.3E-2</v>
      </c>
    </row>
    <row r="138" spans="11:18" x14ac:dyDescent="0.3">
      <c r="K138" s="5">
        <v>127</v>
      </c>
      <c r="L138" s="11">
        <f t="shared" si="6"/>
        <v>92832168559909.828</v>
      </c>
      <c r="M138" s="11">
        <f t="shared" si="11"/>
        <v>421964402540499.25</v>
      </c>
      <c r="N138" s="13">
        <f t="shared" si="7"/>
        <v>3175</v>
      </c>
      <c r="O138" s="17">
        <f t="shared" si="8"/>
        <v>29238478286.585773</v>
      </c>
      <c r="Q138" s="5">
        <f t="shared" si="9"/>
        <v>-63.5</v>
      </c>
      <c r="R138" s="16">
        <f t="shared" si="10"/>
        <v>6.3500000000000001E-2</v>
      </c>
    </row>
    <row r="139" spans="11:18" x14ac:dyDescent="0.3">
      <c r="K139" s="5">
        <v>128</v>
      </c>
      <c r="L139" s="11">
        <f t="shared" ref="L139:L202" si="12">$I$6*($I$7^K139)</f>
        <v>113255245643089.97</v>
      </c>
      <c r="M139" s="11">
        <f t="shared" si="11"/>
        <v>514796571100409.06</v>
      </c>
      <c r="N139" s="13">
        <f t="shared" ref="N139:N202" si="13">K139*$I$8</f>
        <v>3200</v>
      </c>
      <c r="O139" s="17">
        <f t="shared" ref="O139:O202" si="14">L139/N139</f>
        <v>35392264263.465614</v>
      </c>
      <c r="Q139" s="5">
        <f t="shared" ref="Q139:Q202" si="15">K139*$I$11*$B$8</f>
        <v>-64</v>
      </c>
      <c r="R139" s="16">
        <f t="shared" ref="R139:R202" si="16">K139*$I$12</f>
        <v>6.4000000000000001E-2</v>
      </c>
    </row>
    <row r="140" spans="11:18" x14ac:dyDescent="0.3">
      <c r="K140" s="5">
        <v>129</v>
      </c>
      <c r="L140" s="11">
        <f t="shared" si="12"/>
        <v>138171399684569.77</v>
      </c>
      <c r="M140" s="11">
        <f t="shared" ref="M140:M203" si="17">M139+L139</f>
        <v>628051816743499</v>
      </c>
      <c r="N140" s="13">
        <f t="shared" si="13"/>
        <v>3225</v>
      </c>
      <c r="O140" s="17">
        <f t="shared" si="14"/>
        <v>42843844863.432487</v>
      </c>
      <c r="Q140" s="5">
        <f t="shared" si="15"/>
        <v>-64.5</v>
      </c>
      <c r="R140" s="16">
        <f t="shared" si="16"/>
        <v>6.4500000000000002E-2</v>
      </c>
    </row>
    <row r="141" spans="11:18" x14ac:dyDescent="0.3">
      <c r="K141" s="5">
        <v>130</v>
      </c>
      <c r="L141" s="11">
        <f t="shared" si="12"/>
        <v>168569107615175.13</v>
      </c>
      <c r="M141" s="11">
        <f t="shared" si="17"/>
        <v>766223216428068.75</v>
      </c>
      <c r="N141" s="13">
        <f t="shared" si="13"/>
        <v>3250</v>
      </c>
      <c r="O141" s="17">
        <f t="shared" si="14"/>
        <v>51867417727.746193</v>
      </c>
      <c r="Q141" s="5">
        <f t="shared" si="15"/>
        <v>-65</v>
      </c>
      <c r="R141" s="16">
        <f t="shared" si="16"/>
        <v>6.5000000000000002E-2</v>
      </c>
    </row>
    <row r="142" spans="11:18" x14ac:dyDescent="0.3">
      <c r="K142" s="5">
        <v>131</v>
      </c>
      <c r="L142" s="11">
        <f t="shared" si="12"/>
        <v>205654311290513.63</v>
      </c>
      <c r="M142" s="11">
        <f t="shared" si="17"/>
        <v>934792324043243.88</v>
      </c>
      <c r="N142" s="13">
        <f t="shared" si="13"/>
        <v>3275</v>
      </c>
      <c r="O142" s="17">
        <f t="shared" si="14"/>
        <v>62795209554.355309</v>
      </c>
      <c r="Q142" s="5">
        <f t="shared" si="15"/>
        <v>-65.5</v>
      </c>
      <c r="R142" s="16">
        <f t="shared" si="16"/>
        <v>6.5500000000000003E-2</v>
      </c>
    </row>
    <row r="143" spans="11:18" x14ac:dyDescent="0.3">
      <c r="K143" s="5">
        <v>132</v>
      </c>
      <c r="L143" s="11">
        <f t="shared" si="12"/>
        <v>250898259774426.56</v>
      </c>
      <c r="M143" s="11">
        <f t="shared" si="17"/>
        <v>1140446635333757.5</v>
      </c>
      <c r="N143" s="13">
        <f t="shared" si="13"/>
        <v>3300</v>
      </c>
      <c r="O143" s="17">
        <f t="shared" si="14"/>
        <v>76029775689.220169</v>
      </c>
      <c r="Q143" s="5">
        <f t="shared" si="15"/>
        <v>-66</v>
      </c>
      <c r="R143" s="16">
        <f t="shared" si="16"/>
        <v>6.6000000000000003E-2</v>
      </c>
    </row>
    <row r="144" spans="11:18" x14ac:dyDescent="0.3">
      <c r="K144" s="5">
        <v>133</v>
      </c>
      <c r="L144" s="11">
        <f t="shared" si="12"/>
        <v>306095876924800.44</v>
      </c>
      <c r="M144" s="11">
        <f t="shared" si="17"/>
        <v>1391344895108184</v>
      </c>
      <c r="N144" s="13">
        <f t="shared" si="13"/>
        <v>3325</v>
      </c>
      <c r="O144" s="17">
        <f t="shared" si="14"/>
        <v>92058910353.323441</v>
      </c>
      <c r="Q144" s="5">
        <f t="shared" si="15"/>
        <v>-66.5</v>
      </c>
      <c r="R144" s="16">
        <f t="shared" si="16"/>
        <v>6.6500000000000004E-2</v>
      </c>
    </row>
    <row r="145" spans="11:18" x14ac:dyDescent="0.3">
      <c r="K145" s="5">
        <v>134</v>
      </c>
      <c r="L145" s="11">
        <f t="shared" si="12"/>
        <v>373436969848256.5</v>
      </c>
      <c r="M145" s="11">
        <f t="shared" si="17"/>
        <v>1697440772032984.5</v>
      </c>
      <c r="N145" s="13">
        <f t="shared" si="13"/>
        <v>3350</v>
      </c>
      <c r="O145" s="17">
        <f t="shared" si="14"/>
        <v>111473722342.76314</v>
      </c>
      <c r="Q145" s="5">
        <f t="shared" si="15"/>
        <v>-67</v>
      </c>
      <c r="R145" s="16">
        <f t="shared" si="16"/>
        <v>6.7000000000000004E-2</v>
      </c>
    </row>
    <row r="146" spans="11:18" x14ac:dyDescent="0.3">
      <c r="K146" s="5">
        <v>135</v>
      </c>
      <c r="L146" s="11">
        <f t="shared" si="12"/>
        <v>455593103214872.94</v>
      </c>
      <c r="M146" s="11">
        <f t="shared" si="17"/>
        <v>2070877741881241</v>
      </c>
      <c r="N146" s="13">
        <f t="shared" si="13"/>
        <v>3375</v>
      </c>
      <c r="O146" s="17">
        <f t="shared" si="14"/>
        <v>134990549100.70309</v>
      </c>
      <c r="Q146" s="5">
        <f t="shared" si="15"/>
        <v>-67.5</v>
      </c>
      <c r="R146" s="16">
        <f t="shared" si="16"/>
        <v>6.7500000000000004E-2</v>
      </c>
    </row>
    <row r="147" spans="11:18" x14ac:dyDescent="0.3">
      <c r="K147" s="5">
        <v>136</v>
      </c>
      <c r="L147" s="11">
        <f t="shared" si="12"/>
        <v>555823585922144.88</v>
      </c>
      <c r="M147" s="11">
        <f t="shared" si="17"/>
        <v>2526470845096114</v>
      </c>
      <c r="N147" s="13">
        <f t="shared" si="13"/>
        <v>3400</v>
      </c>
      <c r="O147" s="17">
        <f t="shared" si="14"/>
        <v>163477525271.21909</v>
      </c>
      <c r="Q147" s="5">
        <f t="shared" si="15"/>
        <v>-68</v>
      </c>
      <c r="R147" s="16">
        <f t="shared" si="16"/>
        <v>6.8000000000000005E-2</v>
      </c>
    </row>
    <row r="148" spans="11:18" x14ac:dyDescent="0.3">
      <c r="K148" s="5">
        <v>137</v>
      </c>
      <c r="L148" s="11">
        <f t="shared" si="12"/>
        <v>678104774825016.88</v>
      </c>
      <c r="M148" s="11">
        <f t="shared" si="17"/>
        <v>3082294431018259</v>
      </c>
      <c r="N148" s="13">
        <f t="shared" si="13"/>
        <v>3425</v>
      </c>
      <c r="O148" s="17">
        <f t="shared" si="14"/>
        <v>197986795569.34799</v>
      </c>
      <c r="Q148" s="5">
        <f t="shared" si="15"/>
        <v>-68.5</v>
      </c>
      <c r="R148" s="16">
        <f t="shared" si="16"/>
        <v>6.8500000000000005E-2</v>
      </c>
    </row>
    <row r="149" spans="11:18" x14ac:dyDescent="0.3">
      <c r="K149" s="5">
        <v>138</v>
      </c>
      <c r="L149" s="11">
        <f t="shared" si="12"/>
        <v>827287825286520.38</v>
      </c>
      <c r="M149" s="11">
        <f t="shared" si="17"/>
        <v>3760399205843276</v>
      </c>
      <c r="N149" s="13">
        <f t="shared" si="13"/>
        <v>3450</v>
      </c>
      <c r="O149" s="17">
        <f t="shared" si="14"/>
        <v>239793572546.8175</v>
      </c>
      <c r="Q149" s="5">
        <f t="shared" si="15"/>
        <v>-69</v>
      </c>
      <c r="R149" s="16">
        <f t="shared" si="16"/>
        <v>6.9000000000000006E-2</v>
      </c>
    </row>
    <row r="150" spans="11:18" x14ac:dyDescent="0.3">
      <c r="K150" s="5">
        <v>139</v>
      </c>
      <c r="L150" s="11">
        <f t="shared" si="12"/>
        <v>1009291146849554.8</v>
      </c>
      <c r="M150" s="11">
        <f t="shared" si="17"/>
        <v>4587687031129796</v>
      </c>
      <c r="N150" s="13">
        <f t="shared" si="13"/>
        <v>3475</v>
      </c>
      <c r="O150" s="17">
        <f t="shared" si="14"/>
        <v>290443495496.27472</v>
      </c>
      <c r="Q150" s="5">
        <f t="shared" si="15"/>
        <v>-69.5</v>
      </c>
      <c r="R150" s="16">
        <f t="shared" si="16"/>
        <v>6.9500000000000006E-2</v>
      </c>
    </row>
    <row r="151" spans="11:18" x14ac:dyDescent="0.3">
      <c r="K151" s="5">
        <v>140</v>
      </c>
      <c r="L151" s="11">
        <f t="shared" si="12"/>
        <v>1231335199156457</v>
      </c>
      <c r="M151" s="11">
        <f t="shared" si="17"/>
        <v>5596978177979351</v>
      </c>
      <c r="N151" s="13">
        <f t="shared" si="13"/>
        <v>3500</v>
      </c>
      <c r="O151" s="17">
        <f t="shared" si="14"/>
        <v>351810056901.84485</v>
      </c>
      <c r="Q151" s="5">
        <f t="shared" si="15"/>
        <v>-70</v>
      </c>
      <c r="R151" s="16">
        <f t="shared" si="16"/>
        <v>7.0000000000000007E-2</v>
      </c>
    </row>
    <row r="152" spans="11:18" x14ac:dyDescent="0.3">
      <c r="K152" s="5">
        <v>141</v>
      </c>
      <c r="L152" s="11">
        <f t="shared" si="12"/>
        <v>1502228942970877.5</v>
      </c>
      <c r="M152" s="11">
        <f t="shared" si="17"/>
        <v>6828313377135808</v>
      </c>
      <c r="N152" s="13">
        <f t="shared" si="13"/>
        <v>3525</v>
      </c>
      <c r="O152" s="17">
        <f t="shared" si="14"/>
        <v>426164239140.67444</v>
      </c>
      <c r="Q152" s="5">
        <f t="shared" si="15"/>
        <v>-70.5</v>
      </c>
      <c r="R152" s="16">
        <f t="shared" si="16"/>
        <v>7.0500000000000007E-2</v>
      </c>
    </row>
    <row r="153" spans="11:18" x14ac:dyDescent="0.3">
      <c r="K153" s="5">
        <v>142</v>
      </c>
      <c r="L153" s="11">
        <f t="shared" si="12"/>
        <v>1832719310424470.3</v>
      </c>
      <c r="M153" s="11">
        <f t="shared" si="17"/>
        <v>8330542320106686</v>
      </c>
      <c r="N153" s="13">
        <f t="shared" si="13"/>
        <v>3550</v>
      </c>
      <c r="O153" s="17">
        <f t="shared" si="14"/>
        <v>516258960682.94934</v>
      </c>
      <c r="Q153" s="5">
        <f t="shared" si="15"/>
        <v>-71</v>
      </c>
      <c r="R153" s="16">
        <f t="shared" si="16"/>
        <v>7.1000000000000008E-2</v>
      </c>
    </row>
    <row r="154" spans="11:18" x14ac:dyDescent="0.3">
      <c r="K154" s="5">
        <v>143</v>
      </c>
      <c r="L154" s="11">
        <f t="shared" si="12"/>
        <v>2235917558717854</v>
      </c>
      <c r="M154" s="11">
        <f t="shared" si="17"/>
        <v>1.0163261630531156E+16</v>
      </c>
      <c r="N154" s="13">
        <f t="shared" si="13"/>
        <v>3575</v>
      </c>
      <c r="O154" s="17">
        <f t="shared" si="14"/>
        <v>625431484956.04309</v>
      </c>
      <c r="Q154" s="5">
        <f t="shared" si="15"/>
        <v>-71.5</v>
      </c>
      <c r="R154" s="16">
        <f t="shared" si="16"/>
        <v>7.1500000000000008E-2</v>
      </c>
    </row>
    <row r="155" spans="11:18" x14ac:dyDescent="0.3">
      <c r="K155" s="5">
        <v>144</v>
      </c>
      <c r="L155" s="11">
        <f t="shared" si="12"/>
        <v>2727819421635781</v>
      </c>
      <c r="M155" s="11">
        <f t="shared" si="17"/>
        <v>1.239917918924901E+16</v>
      </c>
      <c r="N155" s="13">
        <f t="shared" si="13"/>
        <v>3600</v>
      </c>
      <c r="O155" s="17">
        <f t="shared" si="14"/>
        <v>757727617121.05029</v>
      </c>
      <c r="Q155" s="5">
        <f t="shared" si="15"/>
        <v>-72</v>
      </c>
      <c r="R155" s="16">
        <f t="shared" si="16"/>
        <v>7.2000000000000008E-2</v>
      </c>
    </row>
    <row r="156" spans="11:18" x14ac:dyDescent="0.3">
      <c r="K156" s="5">
        <v>145</v>
      </c>
      <c r="L156" s="11">
        <f t="shared" si="12"/>
        <v>3327939694395653</v>
      </c>
      <c r="M156" s="11">
        <f t="shared" si="17"/>
        <v>1.5126998610884792E+16</v>
      </c>
      <c r="N156" s="13">
        <f t="shared" si="13"/>
        <v>3625</v>
      </c>
      <c r="O156" s="17">
        <f t="shared" si="14"/>
        <v>918052329488.45605</v>
      </c>
      <c r="Q156" s="5">
        <f t="shared" si="15"/>
        <v>-72.5</v>
      </c>
      <c r="R156" s="16">
        <f t="shared" si="16"/>
        <v>7.2499999999999995E-2</v>
      </c>
    </row>
    <row r="157" spans="11:18" x14ac:dyDescent="0.3">
      <c r="K157" s="5">
        <v>146</v>
      </c>
      <c r="L157" s="11">
        <f t="shared" si="12"/>
        <v>4060086427162696.5</v>
      </c>
      <c r="M157" s="11">
        <f t="shared" si="17"/>
        <v>1.8454938305280444E+16</v>
      </c>
      <c r="N157" s="13">
        <f t="shared" si="13"/>
        <v>3650</v>
      </c>
      <c r="O157" s="17">
        <f t="shared" si="14"/>
        <v>1112352445797.999</v>
      </c>
      <c r="Q157" s="5">
        <f t="shared" si="15"/>
        <v>-73</v>
      </c>
      <c r="R157" s="16">
        <f t="shared" si="16"/>
        <v>7.2999999999999995E-2</v>
      </c>
    </row>
    <row r="158" spans="11:18" x14ac:dyDescent="0.3">
      <c r="K158" s="5">
        <v>147</v>
      </c>
      <c r="L158" s="11">
        <f t="shared" si="12"/>
        <v>4953305441138489</v>
      </c>
      <c r="M158" s="11">
        <f t="shared" si="17"/>
        <v>2.251502473244314E+16</v>
      </c>
      <c r="N158" s="13">
        <f t="shared" si="13"/>
        <v>3675</v>
      </c>
      <c r="O158" s="17">
        <f t="shared" si="14"/>
        <v>1347838215275.7793</v>
      </c>
      <c r="Q158" s="5">
        <f t="shared" si="15"/>
        <v>-73.5</v>
      </c>
      <c r="R158" s="16">
        <f t="shared" si="16"/>
        <v>7.3499999999999996E-2</v>
      </c>
    </row>
    <row r="159" spans="11:18" x14ac:dyDescent="0.3">
      <c r="K159" s="5">
        <v>148</v>
      </c>
      <c r="L159" s="11">
        <f t="shared" si="12"/>
        <v>6043032638188957</v>
      </c>
      <c r="M159" s="11">
        <f t="shared" si="17"/>
        <v>2.7468330173581628E+16</v>
      </c>
      <c r="N159" s="13">
        <f t="shared" si="13"/>
        <v>3700</v>
      </c>
      <c r="O159" s="17">
        <f t="shared" si="14"/>
        <v>1633252064375.3938</v>
      </c>
      <c r="Q159" s="5">
        <f t="shared" si="15"/>
        <v>-74</v>
      </c>
      <c r="R159" s="16">
        <f t="shared" si="16"/>
        <v>7.3999999999999996E-2</v>
      </c>
    </row>
    <row r="160" spans="11:18" x14ac:dyDescent="0.3">
      <c r="K160" s="5">
        <v>149</v>
      </c>
      <c r="L160" s="11">
        <f t="shared" si="12"/>
        <v>7372499818590527</v>
      </c>
      <c r="M160" s="11">
        <f t="shared" si="17"/>
        <v>3.3511362811770584E+16</v>
      </c>
      <c r="N160" s="13">
        <f t="shared" si="13"/>
        <v>3725</v>
      </c>
      <c r="O160" s="17">
        <f t="shared" si="14"/>
        <v>1979194582171.9536</v>
      </c>
      <c r="Q160" s="5">
        <f t="shared" si="15"/>
        <v>-74.5</v>
      </c>
      <c r="R160" s="16">
        <f t="shared" si="16"/>
        <v>7.4499999999999997E-2</v>
      </c>
    </row>
    <row r="161" spans="11:18" x14ac:dyDescent="0.3">
      <c r="K161" s="5">
        <v>150</v>
      </c>
      <c r="L161" s="11">
        <f t="shared" si="12"/>
        <v>8994449778680443</v>
      </c>
      <c r="M161" s="11">
        <f t="shared" si="17"/>
        <v>4.0883862630361112E+16</v>
      </c>
      <c r="N161" s="13">
        <f t="shared" si="13"/>
        <v>3750</v>
      </c>
      <c r="O161" s="17">
        <f t="shared" si="14"/>
        <v>2398519940981.4517</v>
      </c>
      <c r="Q161" s="5">
        <f t="shared" si="15"/>
        <v>-75</v>
      </c>
      <c r="R161" s="16">
        <f t="shared" si="16"/>
        <v>7.4999999999999997E-2</v>
      </c>
    </row>
    <row r="162" spans="11:18" x14ac:dyDescent="0.3">
      <c r="K162" s="5">
        <v>151</v>
      </c>
      <c r="L162" s="11">
        <f t="shared" si="12"/>
        <v>1.097322872999014E+16</v>
      </c>
      <c r="M162" s="11">
        <f t="shared" si="17"/>
        <v>4.9878312409041552E+16</v>
      </c>
      <c r="N162" s="13">
        <f t="shared" si="13"/>
        <v>3775</v>
      </c>
      <c r="O162" s="17">
        <f t="shared" si="14"/>
        <v>2906815557613.2822</v>
      </c>
      <c r="Q162" s="5">
        <f t="shared" si="15"/>
        <v>-75.5</v>
      </c>
      <c r="R162" s="16">
        <f t="shared" si="16"/>
        <v>7.5499999999999998E-2</v>
      </c>
    </row>
    <row r="163" spans="11:18" x14ac:dyDescent="0.3">
      <c r="K163" s="5">
        <v>152</v>
      </c>
      <c r="L163" s="11">
        <f t="shared" si="12"/>
        <v>1.3387339050587968E+16</v>
      </c>
      <c r="M163" s="11">
        <f t="shared" si="17"/>
        <v>6.0851541139031696E+16</v>
      </c>
      <c r="N163" s="13">
        <f t="shared" si="13"/>
        <v>3800</v>
      </c>
      <c r="O163" s="17">
        <f t="shared" si="14"/>
        <v>3522983960681.0444</v>
      </c>
      <c r="Q163" s="5">
        <f t="shared" si="15"/>
        <v>-76</v>
      </c>
      <c r="R163" s="16">
        <f t="shared" si="16"/>
        <v>7.5999999999999998E-2</v>
      </c>
    </row>
    <row r="164" spans="11:18" x14ac:dyDescent="0.3">
      <c r="K164" s="5">
        <v>153</v>
      </c>
      <c r="L164" s="11">
        <f t="shared" si="12"/>
        <v>1.6332553641717322E+16</v>
      </c>
      <c r="M164" s="11">
        <f t="shared" si="17"/>
        <v>7.4238880189619664E+16</v>
      </c>
      <c r="N164" s="13">
        <f t="shared" si="13"/>
        <v>3825</v>
      </c>
      <c r="O164" s="17">
        <f t="shared" si="14"/>
        <v>4269948664501.2607</v>
      </c>
      <c r="Q164" s="5">
        <f t="shared" si="15"/>
        <v>-76.5</v>
      </c>
      <c r="R164" s="16">
        <f t="shared" si="16"/>
        <v>7.6499999999999999E-2</v>
      </c>
    </row>
    <row r="165" spans="11:18" x14ac:dyDescent="0.3">
      <c r="K165" s="5">
        <v>154</v>
      </c>
      <c r="L165" s="11">
        <f t="shared" si="12"/>
        <v>1.9925715442895132E+16</v>
      </c>
      <c r="M165" s="11">
        <f t="shared" si="17"/>
        <v>9.0571433831336992E+16</v>
      </c>
      <c r="N165" s="13">
        <f t="shared" si="13"/>
        <v>3850</v>
      </c>
      <c r="O165" s="17">
        <f t="shared" si="14"/>
        <v>5175510504648.0859</v>
      </c>
      <c r="Q165" s="5">
        <f t="shared" si="15"/>
        <v>-77</v>
      </c>
      <c r="R165" s="16">
        <f t="shared" si="16"/>
        <v>7.6999999999999999E-2</v>
      </c>
    </row>
    <row r="166" spans="11:18" x14ac:dyDescent="0.3">
      <c r="K166" s="5">
        <v>155</v>
      </c>
      <c r="L166" s="11">
        <f t="shared" si="12"/>
        <v>2.430937284033206E+16</v>
      </c>
      <c r="M166" s="11">
        <f t="shared" si="17"/>
        <v>1.1049714927423213E+17</v>
      </c>
      <c r="N166" s="13">
        <f t="shared" si="13"/>
        <v>3875</v>
      </c>
      <c r="O166" s="17">
        <f t="shared" si="14"/>
        <v>6273386539440.5313</v>
      </c>
      <c r="Q166" s="5">
        <f t="shared" si="15"/>
        <v>-77.5</v>
      </c>
      <c r="R166" s="16">
        <f t="shared" si="16"/>
        <v>7.7499999999999999E-2</v>
      </c>
    </row>
    <row r="167" spans="11:18" x14ac:dyDescent="0.3">
      <c r="K167" s="5">
        <v>156</v>
      </c>
      <c r="L167" s="11">
        <f t="shared" si="12"/>
        <v>2.9657434865205112E+16</v>
      </c>
      <c r="M167" s="11">
        <f t="shared" si="17"/>
        <v>1.3480652211456419E+17</v>
      </c>
      <c r="N167" s="13">
        <f t="shared" si="13"/>
        <v>3900</v>
      </c>
      <c r="O167" s="17">
        <f t="shared" si="14"/>
        <v>7604470478257.7207</v>
      </c>
      <c r="Q167" s="5">
        <f t="shared" si="15"/>
        <v>-78</v>
      </c>
      <c r="R167" s="16">
        <f t="shared" si="16"/>
        <v>7.8E-2</v>
      </c>
    </row>
    <row r="168" spans="11:18" x14ac:dyDescent="0.3">
      <c r="K168" s="5">
        <v>157</v>
      </c>
      <c r="L168" s="11">
        <f t="shared" si="12"/>
        <v>3.6182070535550232E+16</v>
      </c>
      <c r="M168" s="11">
        <f t="shared" si="17"/>
        <v>1.6446395697976931E+17</v>
      </c>
      <c r="N168" s="13">
        <f t="shared" si="13"/>
        <v>3925</v>
      </c>
      <c r="O168" s="17">
        <f t="shared" si="14"/>
        <v>9218361919885.4102</v>
      </c>
      <c r="Q168" s="5">
        <f t="shared" si="15"/>
        <v>-78.5</v>
      </c>
      <c r="R168" s="16">
        <f t="shared" si="16"/>
        <v>7.85E-2</v>
      </c>
    </row>
    <row r="169" spans="11:18" x14ac:dyDescent="0.3">
      <c r="K169" s="5">
        <v>158</v>
      </c>
      <c r="L169" s="11">
        <f t="shared" si="12"/>
        <v>4.414212605337128E+16</v>
      </c>
      <c r="M169" s="11">
        <f t="shared" si="17"/>
        <v>2.0064602751531955E+17</v>
      </c>
      <c r="N169" s="13">
        <f t="shared" si="13"/>
        <v>3950</v>
      </c>
      <c r="O169" s="17">
        <f t="shared" si="14"/>
        <v>11175221785663.615</v>
      </c>
      <c r="Q169" s="5">
        <f t="shared" si="15"/>
        <v>-79</v>
      </c>
      <c r="R169" s="16">
        <f t="shared" si="16"/>
        <v>7.9000000000000001E-2</v>
      </c>
    </row>
    <row r="170" spans="11:18" x14ac:dyDescent="0.3">
      <c r="K170" s="5">
        <v>159</v>
      </c>
      <c r="L170" s="11">
        <f t="shared" si="12"/>
        <v>5.3853393785112968E+16</v>
      </c>
      <c r="M170" s="11">
        <f t="shared" si="17"/>
        <v>2.4478815356869082E+17</v>
      </c>
      <c r="N170" s="13">
        <f t="shared" si="13"/>
        <v>3975</v>
      </c>
      <c r="O170" s="17">
        <f t="shared" si="14"/>
        <v>13548023593739.111</v>
      </c>
      <c r="Q170" s="5">
        <f t="shared" si="15"/>
        <v>-79.5</v>
      </c>
      <c r="R170" s="16">
        <f t="shared" si="16"/>
        <v>7.9500000000000001E-2</v>
      </c>
    </row>
    <row r="171" spans="11:18" x14ac:dyDescent="0.3">
      <c r="K171" s="5">
        <v>160</v>
      </c>
      <c r="L171" s="11">
        <f t="shared" si="12"/>
        <v>6.5701140417837816E+16</v>
      </c>
      <c r="M171" s="11">
        <f t="shared" si="17"/>
        <v>2.9864154735380378E+17</v>
      </c>
      <c r="N171" s="13">
        <f t="shared" si="13"/>
        <v>4000</v>
      </c>
      <c r="O171" s="17">
        <f t="shared" si="14"/>
        <v>16425285104459.453</v>
      </c>
      <c r="Q171" s="5">
        <f t="shared" si="15"/>
        <v>-80</v>
      </c>
      <c r="R171" s="16">
        <f t="shared" si="16"/>
        <v>0.08</v>
      </c>
    </row>
    <row r="172" spans="11:18" x14ac:dyDescent="0.3">
      <c r="K172" s="5">
        <v>161</v>
      </c>
      <c r="L172" s="11">
        <f t="shared" si="12"/>
        <v>8.0155391309762128E+16</v>
      </c>
      <c r="M172" s="11">
        <f t="shared" si="17"/>
        <v>3.643426877716416E+17</v>
      </c>
      <c r="N172" s="13">
        <f t="shared" si="13"/>
        <v>4025</v>
      </c>
      <c r="O172" s="17">
        <f t="shared" si="14"/>
        <v>19914382934102.391</v>
      </c>
      <c r="Q172" s="5">
        <f t="shared" si="15"/>
        <v>-80.5</v>
      </c>
      <c r="R172" s="16">
        <f t="shared" si="16"/>
        <v>8.0500000000000002E-2</v>
      </c>
    </row>
    <row r="173" spans="11:18" x14ac:dyDescent="0.3">
      <c r="K173" s="5">
        <v>162</v>
      </c>
      <c r="L173" s="11">
        <f t="shared" si="12"/>
        <v>9.7789577397909792E+16</v>
      </c>
      <c r="M173" s="11">
        <f t="shared" si="17"/>
        <v>4.4449807908140371E+17</v>
      </c>
      <c r="N173" s="13">
        <f t="shared" si="13"/>
        <v>4050</v>
      </c>
      <c r="O173" s="17">
        <f t="shared" si="14"/>
        <v>24145574666150.566</v>
      </c>
      <c r="Q173" s="5">
        <f t="shared" si="15"/>
        <v>-81</v>
      </c>
      <c r="R173" s="16">
        <f t="shared" si="16"/>
        <v>8.1000000000000003E-2</v>
      </c>
    </row>
    <row r="174" spans="11:18" x14ac:dyDescent="0.3">
      <c r="K174" s="5">
        <v>163</v>
      </c>
      <c r="L174" s="11">
        <f t="shared" si="12"/>
        <v>1.1930328442544995E+17</v>
      </c>
      <c r="M174" s="11">
        <f t="shared" si="17"/>
        <v>5.4228765647931354E+17</v>
      </c>
      <c r="N174" s="13">
        <f t="shared" si="13"/>
        <v>4075</v>
      </c>
      <c r="O174" s="17">
        <f t="shared" si="14"/>
        <v>29276879613607.352</v>
      </c>
      <c r="Q174" s="5">
        <f t="shared" si="15"/>
        <v>-81.5</v>
      </c>
      <c r="R174" s="16">
        <f t="shared" si="16"/>
        <v>8.1500000000000003E-2</v>
      </c>
    </row>
    <row r="175" spans="11:18" x14ac:dyDescent="0.3">
      <c r="K175" s="5">
        <v>164</v>
      </c>
      <c r="L175" s="11">
        <f t="shared" si="12"/>
        <v>1.4555000699904893E+17</v>
      </c>
      <c r="M175" s="11">
        <f t="shared" si="17"/>
        <v>6.6159094090476352E+17</v>
      </c>
      <c r="N175" s="13">
        <f t="shared" si="13"/>
        <v>4100</v>
      </c>
      <c r="O175" s="17">
        <f t="shared" si="14"/>
        <v>35500001707085.102</v>
      </c>
      <c r="Q175" s="5">
        <f t="shared" si="15"/>
        <v>-82</v>
      </c>
      <c r="R175" s="16">
        <f t="shared" si="16"/>
        <v>8.2000000000000003E-2</v>
      </c>
    </row>
    <row r="176" spans="11:18" x14ac:dyDescent="0.3">
      <c r="K176" s="5">
        <v>165</v>
      </c>
      <c r="L176" s="11">
        <f t="shared" si="12"/>
        <v>1.7757100853883968E+17</v>
      </c>
      <c r="M176" s="11">
        <f t="shared" si="17"/>
        <v>8.0714094790381248E+17</v>
      </c>
      <c r="N176" s="13">
        <f t="shared" si="13"/>
        <v>4125</v>
      </c>
      <c r="O176" s="17">
        <f t="shared" si="14"/>
        <v>43047517221536.891</v>
      </c>
      <c r="Q176" s="5">
        <f t="shared" si="15"/>
        <v>-82.5</v>
      </c>
      <c r="R176" s="16">
        <f t="shared" si="16"/>
        <v>8.2500000000000004E-2</v>
      </c>
    </row>
    <row r="177" spans="11:18" x14ac:dyDescent="0.3">
      <c r="K177" s="5">
        <v>166</v>
      </c>
      <c r="L177" s="11">
        <f t="shared" si="12"/>
        <v>2.1663663041738438E+17</v>
      </c>
      <c r="M177" s="11">
        <f t="shared" si="17"/>
        <v>9.8471195644265216E+17</v>
      </c>
      <c r="N177" s="13">
        <f t="shared" si="13"/>
        <v>4150</v>
      </c>
      <c r="O177" s="17">
        <f t="shared" si="14"/>
        <v>52201597690936</v>
      </c>
      <c r="Q177" s="5">
        <f t="shared" si="15"/>
        <v>-83</v>
      </c>
      <c r="R177" s="16">
        <f t="shared" si="16"/>
        <v>8.3000000000000004E-2</v>
      </c>
    </row>
    <row r="178" spans="11:18" x14ac:dyDescent="0.3">
      <c r="K178" s="5">
        <v>167</v>
      </c>
      <c r="L178" s="11">
        <f t="shared" si="12"/>
        <v>2.6429668910920899E+17</v>
      </c>
      <c r="M178" s="11">
        <f t="shared" si="17"/>
        <v>1.2013485868600366E+18</v>
      </c>
      <c r="N178" s="13">
        <f t="shared" si="13"/>
        <v>4175</v>
      </c>
      <c r="O178" s="17">
        <f t="shared" si="14"/>
        <v>63304596193822.516</v>
      </c>
      <c r="Q178" s="5">
        <f t="shared" si="15"/>
        <v>-83.5</v>
      </c>
      <c r="R178" s="16">
        <f t="shared" si="16"/>
        <v>8.3500000000000005E-2</v>
      </c>
    </row>
    <row r="179" spans="11:18" x14ac:dyDescent="0.3">
      <c r="K179" s="5">
        <v>168</v>
      </c>
      <c r="L179" s="11">
        <f t="shared" si="12"/>
        <v>3.2244196071323488E+17</v>
      </c>
      <c r="M179" s="11">
        <f t="shared" si="17"/>
        <v>1.4656452759692457E+18</v>
      </c>
      <c r="N179" s="13">
        <f t="shared" si="13"/>
        <v>4200</v>
      </c>
      <c r="O179" s="17">
        <f t="shared" si="14"/>
        <v>76771895407913.063</v>
      </c>
      <c r="Q179" s="5">
        <f t="shared" si="15"/>
        <v>-84</v>
      </c>
      <c r="R179" s="16">
        <f t="shared" si="16"/>
        <v>8.4000000000000005E-2</v>
      </c>
    </row>
    <row r="180" spans="11:18" x14ac:dyDescent="0.3">
      <c r="K180" s="5">
        <v>169</v>
      </c>
      <c r="L180" s="11">
        <f t="shared" si="12"/>
        <v>3.9337919207014656E+17</v>
      </c>
      <c r="M180" s="11">
        <f t="shared" si="17"/>
        <v>1.7880872366824806E+18</v>
      </c>
      <c r="N180" s="13">
        <f t="shared" si="13"/>
        <v>4225</v>
      </c>
      <c r="O180" s="17">
        <f t="shared" si="14"/>
        <v>93107501081691.5</v>
      </c>
      <c r="Q180" s="5">
        <f t="shared" si="15"/>
        <v>-84.5</v>
      </c>
      <c r="R180" s="16">
        <f t="shared" si="16"/>
        <v>8.4500000000000006E-2</v>
      </c>
    </row>
    <row r="181" spans="11:18" x14ac:dyDescent="0.3">
      <c r="K181" s="5">
        <v>170</v>
      </c>
      <c r="L181" s="11">
        <f t="shared" si="12"/>
        <v>4.7992261432557875E+17</v>
      </c>
      <c r="M181" s="11">
        <f t="shared" si="17"/>
        <v>2.1814664287526272E+18</v>
      </c>
      <c r="N181" s="13">
        <f t="shared" si="13"/>
        <v>4250</v>
      </c>
      <c r="O181" s="17">
        <f t="shared" si="14"/>
        <v>112922968076606.77</v>
      </c>
      <c r="Q181" s="5">
        <f t="shared" si="15"/>
        <v>-85</v>
      </c>
      <c r="R181" s="16">
        <f t="shared" si="16"/>
        <v>8.5000000000000006E-2</v>
      </c>
    </row>
    <row r="182" spans="11:18" x14ac:dyDescent="0.3">
      <c r="K182" s="5">
        <v>171</v>
      </c>
      <c r="L182" s="11">
        <f t="shared" si="12"/>
        <v>5.8550558947720614E+17</v>
      </c>
      <c r="M182" s="11">
        <f t="shared" si="17"/>
        <v>2.661389043078206E+18</v>
      </c>
      <c r="N182" s="13">
        <f t="shared" si="13"/>
        <v>4275</v>
      </c>
      <c r="O182" s="17">
        <f t="shared" si="14"/>
        <v>136960371807533.59</v>
      </c>
      <c r="Q182" s="5">
        <f t="shared" si="15"/>
        <v>-85.5</v>
      </c>
      <c r="R182" s="16">
        <f t="shared" si="16"/>
        <v>8.5500000000000007E-2</v>
      </c>
    </row>
    <row r="183" spans="11:18" x14ac:dyDescent="0.3">
      <c r="K183" s="5">
        <v>172</v>
      </c>
      <c r="L183" s="11">
        <f t="shared" si="12"/>
        <v>7.1431681916219136E+17</v>
      </c>
      <c r="M183" s="11">
        <f t="shared" si="17"/>
        <v>3.246894632555412E+18</v>
      </c>
      <c r="N183" s="13">
        <f t="shared" si="13"/>
        <v>4300</v>
      </c>
      <c r="O183" s="17">
        <f t="shared" si="14"/>
        <v>166120190502835.19</v>
      </c>
      <c r="Q183" s="5">
        <f t="shared" si="15"/>
        <v>-86</v>
      </c>
      <c r="R183" s="16">
        <f t="shared" si="16"/>
        <v>8.6000000000000007E-2</v>
      </c>
    </row>
    <row r="184" spans="11:18" x14ac:dyDescent="0.3">
      <c r="K184" s="5">
        <v>173</v>
      </c>
      <c r="L184" s="11">
        <f t="shared" si="12"/>
        <v>8.7146651937787341E+17</v>
      </c>
      <c r="M184" s="11">
        <f t="shared" si="17"/>
        <v>3.9612114517176033E+18</v>
      </c>
      <c r="N184" s="13">
        <f t="shared" si="13"/>
        <v>4325</v>
      </c>
      <c r="O184" s="17">
        <f t="shared" si="14"/>
        <v>201495148989103.69</v>
      </c>
      <c r="Q184" s="5">
        <f t="shared" si="15"/>
        <v>-86.5</v>
      </c>
      <c r="R184" s="16">
        <f t="shared" si="16"/>
        <v>8.6500000000000007E-2</v>
      </c>
    </row>
    <row r="185" spans="11:18" x14ac:dyDescent="0.3">
      <c r="K185" s="5">
        <v>174</v>
      </c>
      <c r="L185" s="11">
        <f t="shared" si="12"/>
        <v>1.0631891536410054E+18</v>
      </c>
      <c r="M185" s="11">
        <f t="shared" si="17"/>
        <v>4.8326779710954762E+18</v>
      </c>
      <c r="N185" s="13">
        <f t="shared" si="13"/>
        <v>4350</v>
      </c>
      <c r="O185" s="17">
        <f t="shared" si="14"/>
        <v>244411299687587.47</v>
      </c>
      <c r="Q185" s="5">
        <f t="shared" si="15"/>
        <v>-87</v>
      </c>
      <c r="R185" s="16">
        <f t="shared" si="16"/>
        <v>8.7000000000000008E-2</v>
      </c>
    </row>
    <row r="186" spans="11:18" x14ac:dyDescent="0.3">
      <c r="K186" s="5">
        <v>175</v>
      </c>
      <c r="L186" s="11">
        <f t="shared" si="12"/>
        <v>1.2970907674420268E+18</v>
      </c>
      <c r="M186" s="11">
        <f t="shared" si="17"/>
        <v>5.8958671247364813E+18</v>
      </c>
      <c r="N186" s="13">
        <f t="shared" si="13"/>
        <v>4375</v>
      </c>
      <c r="O186" s="17">
        <f t="shared" si="14"/>
        <v>296477889701034.69</v>
      </c>
      <c r="Q186" s="5">
        <f t="shared" si="15"/>
        <v>-87.5</v>
      </c>
      <c r="R186" s="16">
        <f t="shared" si="16"/>
        <v>8.7500000000000008E-2</v>
      </c>
    </row>
    <row r="187" spans="11:18" x14ac:dyDescent="0.3">
      <c r="K187" s="5">
        <v>176</v>
      </c>
      <c r="L187" s="11">
        <f t="shared" si="12"/>
        <v>1.5824507362792724E+18</v>
      </c>
      <c r="M187" s="11">
        <f t="shared" si="17"/>
        <v>7.1929578921785078E+18</v>
      </c>
      <c r="N187" s="13">
        <f t="shared" si="13"/>
        <v>4400</v>
      </c>
      <c r="O187" s="17">
        <f t="shared" si="14"/>
        <v>359647894608925.56</v>
      </c>
      <c r="Q187" s="5">
        <f t="shared" si="15"/>
        <v>-88</v>
      </c>
      <c r="R187" s="16">
        <f t="shared" si="16"/>
        <v>8.7999999999999995E-2</v>
      </c>
    </row>
    <row r="188" spans="11:18" x14ac:dyDescent="0.3">
      <c r="K188" s="5">
        <v>177</v>
      </c>
      <c r="L188" s="11">
        <f t="shared" si="12"/>
        <v>1.9305898982607122E+18</v>
      </c>
      <c r="M188" s="11">
        <f t="shared" si="17"/>
        <v>8.7754086284577802E+18</v>
      </c>
      <c r="N188" s="13">
        <f t="shared" si="13"/>
        <v>4425</v>
      </c>
      <c r="O188" s="17">
        <f t="shared" si="14"/>
        <v>436291502431799.38</v>
      </c>
      <c r="Q188" s="5">
        <f t="shared" si="15"/>
        <v>-88.5</v>
      </c>
      <c r="R188" s="16">
        <f t="shared" si="16"/>
        <v>8.8499999999999995E-2</v>
      </c>
    </row>
    <row r="189" spans="11:18" x14ac:dyDescent="0.3">
      <c r="K189" s="5">
        <v>178</v>
      </c>
      <c r="L189" s="11">
        <f t="shared" si="12"/>
        <v>2.3553196758780692E+18</v>
      </c>
      <c r="M189" s="11">
        <f t="shared" si="17"/>
        <v>1.0705998526718493E+19</v>
      </c>
      <c r="N189" s="13">
        <f t="shared" si="13"/>
        <v>4450</v>
      </c>
      <c r="O189" s="17">
        <f t="shared" si="14"/>
        <v>529285320422038.06</v>
      </c>
      <c r="Q189" s="5">
        <f t="shared" si="15"/>
        <v>-89</v>
      </c>
      <c r="R189" s="16">
        <f t="shared" si="16"/>
        <v>8.8999999999999996E-2</v>
      </c>
    </row>
    <row r="190" spans="11:18" x14ac:dyDescent="0.3">
      <c r="K190" s="5">
        <v>179</v>
      </c>
      <c r="L190" s="11">
        <f t="shared" si="12"/>
        <v>2.873490004571244E+18</v>
      </c>
      <c r="M190" s="11">
        <f t="shared" si="17"/>
        <v>1.3061318202596561E+19</v>
      </c>
      <c r="N190" s="13">
        <f t="shared" si="13"/>
        <v>4475</v>
      </c>
      <c r="O190" s="17">
        <f t="shared" si="14"/>
        <v>642120671412568.5</v>
      </c>
      <c r="Q190" s="5">
        <f t="shared" si="15"/>
        <v>-89.5</v>
      </c>
      <c r="R190" s="16">
        <f t="shared" si="16"/>
        <v>8.9499999999999996E-2</v>
      </c>
    </row>
    <row r="191" spans="11:18" x14ac:dyDescent="0.3">
      <c r="K191" s="5">
        <v>180</v>
      </c>
      <c r="L191" s="11">
        <f t="shared" si="12"/>
        <v>3.505657805576917E+18</v>
      </c>
      <c r="M191" s="11">
        <f t="shared" si="17"/>
        <v>1.5934808207167805E+19</v>
      </c>
      <c r="N191" s="13">
        <f t="shared" si="13"/>
        <v>4500</v>
      </c>
      <c r="O191" s="17">
        <f t="shared" si="14"/>
        <v>779035067905981.5</v>
      </c>
      <c r="Q191" s="5">
        <f t="shared" si="15"/>
        <v>-90</v>
      </c>
      <c r="R191" s="16">
        <f t="shared" si="16"/>
        <v>0.09</v>
      </c>
    </row>
    <row r="192" spans="11:18" x14ac:dyDescent="0.3">
      <c r="K192" s="5">
        <v>181</v>
      </c>
      <c r="L192" s="11">
        <f t="shared" si="12"/>
        <v>4.276902522803839E+18</v>
      </c>
      <c r="M192" s="11">
        <f t="shared" si="17"/>
        <v>1.944046601274472E+19</v>
      </c>
      <c r="N192" s="13">
        <f t="shared" si="13"/>
        <v>4525</v>
      </c>
      <c r="O192" s="17">
        <f t="shared" si="14"/>
        <v>945171828243942.38</v>
      </c>
      <c r="Q192" s="5">
        <f t="shared" si="15"/>
        <v>-90.5</v>
      </c>
      <c r="R192" s="16">
        <f t="shared" si="16"/>
        <v>9.0499999999999997E-2</v>
      </c>
    </row>
    <row r="193" spans="11:18" x14ac:dyDescent="0.3">
      <c r="K193" s="5">
        <v>182</v>
      </c>
      <c r="L193" s="11">
        <f t="shared" si="12"/>
        <v>5.2178210778206833E+18</v>
      </c>
      <c r="M193" s="11">
        <f t="shared" si="17"/>
        <v>2.3717368535548559E+19</v>
      </c>
      <c r="N193" s="13">
        <f t="shared" si="13"/>
        <v>4550</v>
      </c>
      <c r="O193" s="17">
        <f t="shared" si="14"/>
        <v>1146773863257293</v>
      </c>
      <c r="Q193" s="5">
        <f t="shared" si="15"/>
        <v>-91</v>
      </c>
      <c r="R193" s="16">
        <f t="shared" si="16"/>
        <v>9.0999999999999998E-2</v>
      </c>
    </row>
    <row r="194" spans="11:18" x14ac:dyDescent="0.3">
      <c r="K194" s="5">
        <v>183</v>
      </c>
      <c r="L194" s="11">
        <f t="shared" si="12"/>
        <v>6.3657417149412352E+18</v>
      </c>
      <c r="M194" s="11">
        <f t="shared" si="17"/>
        <v>2.8935189613369242E+19</v>
      </c>
      <c r="N194" s="13">
        <f t="shared" si="13"/>
        <v>4575</v>
      </c>
      <c r="O194" s="17">
        <f t="shared" si="14"/>
        <v>1391418954085516</v>
      </c>
      <c r="Q194" s="5">
        <f t="shared" si="15"/>
        <v>-91.5</v>
      </c>
      <c r="R194" s="16">
        <f t="shared" si="16"/>
        <v>9.1499999999999998E-2</v>
      </c>
    </row>
    <row r="195" spans="11:18" x14ac:dyDescent="0.3">
      <c r="K195" s="5">
        <v>184</v>
      </c>
      <c r="L195" s="11">
        <f t="shared" si="12"/>
        <v>7.7662048922283049E+18</v>
      </c>
      <c r="M195" s="11">
        <f t="shared" si="17"/>
        <v>3.5300931328310477E+19</v>
      </c>
      <c r="N195" s="13">
        <f t="shared" si="13"/>
        <v>4600</v>
      </c>
      <c r="O195" s="17">
        <f t="shared" si="14"/>
        <v>1688305411353979.3</v>
      </c>
      <c r="Q195" s="5">
        <f t="shared" si="15"/>
        <v>-92</v>
      </c>
      <c r="R195" s="16">
        <f t="shared" si="16"/>
        <v>9.1999999999999998E-2</v>
      </c>
    </row>
    <row r="196" spans="11:18" x14ac:dyDescent="0.3">
      <c r="K196" s="5">
        <v>185</v>
      </c>
      <c r="L196" s="11">
        <f t="shared" si="12"/>
        <v>9.474769968518529E+18</v>
      </c>
      <c r="M196" s="11">
        <f t="shared" si="17"/>
        <v>4.3067136220538782E+19</v>
      </c>
      <c r="N196" s="13">
        <f t="shared" si="13"/>
        <v>4625</v>
      </c>
      <c r="O196" s="17">
        <f t="shared" si="14"/>
        <v>2048598912112114.5</v>
      </c>
      <c r="Q196" s="5">
        <f t="shared" si="15"/>
        <v>-92.5</v>
      </c>
      <c r="R196" s="16">
        <f t="shared" si="16"/>
        <v>9.2499999999999999E-2</v>
      </c>
    </row>
    <row r="197" spans="11:18" x14ac:dyDescent="0.3">
      <c r="K197" s="5">
        <v>186</v>
      </c>
      <c r="L197" s="11">
        <f t="shared" si="12"/>
        <v>1.1559219361592611E+19</v>
      </c>
      <c r="M197" s="11">
        <f t="shared" si="17"/>
        <v>5.2541906189057311E+19</v>
      </c>
      <c r="N197" s="13">
        <f t="shared" si="13"/>
        <v>4650</v>
      </c>
      <c r="O197" s="17">
        <f t="shared" si="14"/>
        <v>2485853626148948.5</v>
      </c>
      <c r="Q197" s="5">
        <f t="shared" si="15"/>
        <v>-93</v>
      </c>
      <c r="R197" s="16">
        <f t="shared" si="16"/>
        <v>9.2999999999999999E-2</v>
      </c>
    </row>
    <row r="198" spans="11:18" x14ac:dyDescent="0.3">
      <c r="K198" s="5">
        <v>187</v>
      </c>
      <c r="L198" s="11">
        <f t="shared" si="12"/>
        <v>1.4102247621142981E+19</v>
      </c>
      <c r="M198" s="11">
        <f t="shared" si="17"/>
        <v>6.4101125550649917E+19</v>
      </c>
      <c r="N198" s="13">
        <f t="shared" si="13"/>
        <v>4675</v>
      </c>
      <c r="O198" s="17">
        <f t="shared" si="14"/>
        <v>3016523555324701.5</v>
      </c>
      <c r="Q198" s="5">
        <f t="shared" si="15"/>
        <v>-93.5</v>
      </c>
      <c r="R198" s="16">
        <f t="shared" si="16"/>
        <v>9.35E-2</v>
      </c>
    </row>
    <row r="199" spans="11:18" x14ac:dyDescent="0.3">
      <c r="K199" s="5">
        <v>188</v>
      </c>
      <c r="L199" s="11">
        <f t="shared" si="12"/>
        <v>1.7204742097794437E+19</v>
      </c>
      <c r="M199" s="11">
        <f t="shared" si="17"/>
        <v>7.8203373171792904E+19</v>
      </c>
      <c r="N199" s="13">
        <f t="shared" si="13"/>
        <v>4700</v>
      </c>
      <c r="O199" s="17">
        <f t="shared" si="14"/>
        <v>3660583425062646</v>
      </c>
      <c r="Q199" s="5">
        <f t="shared" si="15"/>
        <v>-94</v>
      </c>
      <c r="R199" s="16">
        <f t="shared" si="16"/>
        <v>9.4E-2</v>
      </c>
    </row>
    <row r="200" spans="11:18" x14ac:dyDescent="0.3">
      <c r="K200" s="5">
        <v>189</v>
      </c>
      <c r="L200" s="11">
        <f t="shared" si="12"/>
        <v>2.0989785359309214E+19</v>
      </c>
      <c r="M200" s="11">
        <f t="shared" si="17"/>
        <v>9.5408115269587337E+19</v>
      </c>
      <c r="N200" s="13">
        <f t="shared" si="13"/>
        <v>4725</v>
      </c>
      <c r="O200" s="17">
        <f t="shared" si="14"/>
        <v>4442282615726817.5</v>
      </c>
      <c r="Q200" s="5">
        <f t="shared" si="15"/>
        <v>-94.5</v>
      </c>
      <c r="R200" s="16">
        <f t="shared" si="16"/>
        <v>9.4500000000000001E-2</v>
      </c>
    </row>
    <row r="201" spans="11:18" x14ac:dyDescent="0.3">
      <c r="K201" s="5">
        <v>190</v>
      </c>
      <c r="L201" s="11">
        <f t="shared" si="12"/>
        <v>2.5607538138357236E+19</v>
      </c>
      <c r="M201" s="11">
        <f t="shared" si="17"/>
        <v>1.1639790062889655E+20</v>
      </c>
      <c r="N201" s="13">
        <f t="shared" si="13"/>
        <v>4750</v>
      </c>
      <c r="O201" s="17">
        <f t="shared" si="14"/>
        <v>5391060660706786</v>
      </c>
      <c r="Q201" s="5">
        <f t="shared" si="15"/>
        <v>-95</v>
      </c>
      <c r="R201" s="16">
        <f t="shared" si="16"/>
        <v>9.5000000000000001E-2</v>
      </c>
    </row>
    <row r="202" spans="11:18" x14ac:dyDescent="0.3">
      <c r="K202" s="5">
        <v>191</v>
      </c>
      <c r="L202" s="11">
        <f t="shared" si="12"/>
        <v>3.1241196528795828E+19</v>
      </c>
      <c r="M202" s="11">
        <f t="shared" si="17"/>
        <v>1.4200543876725378E+20</v>
      </c>
      <c r="N202" s="13">
        <f t="shared" si="13"/>
        <v>4775</v>
      </c>
      <c r="O202" s="17">
        <f t="shared" si="14"/>
        <v>6542658958910121</v>
      </c>
      <c r="Q202" s="5">
        <f t="shared" si="15"/>
        <v>-95.5</v>
      </c>
      <c r="R202" s="16">
        <f t="shared" si="16"/>
        <v>9.5500000000000002E-2</v>
      </c>
    </row>
    <row r="203" spans="11:18" x14ac:dyDescent="0.3">
      <c r="K203" s="5">
        <v>192</v>
      </c>
      <c r="L203" s="11">
        <f t="shared" ref="L203:L266" si="18">$I$6*($I$7^K203)</f>
        <v>3.8114259765130904E+19</v>
      </c>
      <c r="M203" s="11">
        <f t="shared" si="17"/>
        <v>1.7324663529604959E+20</v>
      </c>
      <c r="N203" s="13">
        <f t="shared" ref="N203:N266" si="19">K203*$I$8</f>
        <v>4800</v>
      </c>
      <c r="O203" s="17">
        <f t="shared" ref="O203:O266" si="20">L203/N203</f>
        <v>7940470784402272</v>
      </c>
      <c r="Q203" s="5">
        <f t="shared" ref="Q203:Q266" si="21">K203*$I$11*$B$8</f>
        <v>-96</v>
      </c>
      <c r="R203" s="16">
        <f t="shared" ref="R203:R266" si="22">K203*$I$12</f>
        <v>9.6000000000000002E-2</v>
      </c>
    </row>
    <row r="204" spans="11:18" x14ac:dyDescent="0.3">
      <c r="K204" s="5">
        <v>193</v>
      </c>
      <c r="L204" s="11">
        <f t="shared" si="18"/>
        <v>4.64993969134597E+19</v>
      </c>
      <c r="M204" s="11">
        <f t="shared" ref="M204:M267" si="23">M203+L203</f>
        <v>2.1136089506118048E+20</v>
      </c>
      <c r="N204" s="13">
        <f t="shared" si="19"/>
        <v>4825</v>
      </c>
      <c r="O204" s="17">
        <f t="shared" si="20"/>
        <v>9637180707452788</v>
      </c>
      <c r="Q204" s="5">
        <f t="shared" si="21"/>
        <v>-96.5</v>
      </c>
      <c r="R204" s="16">
        <f t="shared" si="22"/>
        <v>9.6500000000000002E-2</v>
      </c>
    </row>
    <row r="205" spans="11:18" x14ac:dyDescent="0.3">
      <c r="K205" s="5">
        <v>194</v>
      </c>
      <c r="L205" s="11">
        <f t="shared" si="18"/>
        <v>5.6729264234420838E+19</v>
      </c>
      <c r="M205" s="11">
        <f t="shared" si="23"/>
        <v>2.5786029197464017E+20</v>
      </c>
      <c r="N205" s="13">
        <f t="shared" si="19"/>
        <v>4850</v>
      </c>
      <c r="O205" s="17">
        <f t="shared" si="20"/>
        <v>1.169675551225172E+16</v>
      </c>
      <c r="Q205" s="5">
        <f t="shared" si="21"/>
        <v>-97</v>
      </c>
      <c r="R205" s="16">
        <f t="shared" si="22"/>
        <v>9.7000000000000003E-2</v>
      </c>
    </row>
    <row r="206" spans="11:18" x14ac:dyDescent="0.3">
      <c r="K206" s="5">
        <v>195</v>
      </c>
      <c r="L206" s="11">
        <f t="shared" si="18"/>
        <v>6.9209702365993419E+19</v>
      </c>
      <c r="M206" s="11">
        <f t="shared" si="23"/>
        <v>3.14589556209061E+20</v>
      </c>
      <c r="N206" s="13">
        <f t="shared" si="19"/>
        <v>4875</v>
      </c>
      <c r="O206" s="17">
        <f t="shared" si="20"/>
        <v>1.4196862023793522E+16</v>
      </c>
      <c r="Q206" s="5">
        <f t="shared" si="21"/>
        <v>-97.5</v>
      </c>
      <c r="R206" s="16">
        <f t="shared" si="22"/>
        <v>9.7500000000000003E-2</v>
      </c>
    </row>
    <row r="207" spans="11:18" x14ac:dyDescent="0.3">
      <c r="K207" s="5">
        <v>196</v>
      </c>
      <c r="L207" s="11">
        <f t="shared" si="18"/>
        <v>8.443583688651196E+19</v>
      </c>
      <c r="M207" s="11">
        <f t="shared" si="23"/>
        <v>3.8379925857505444E+20</v>
      </c>
      <c r="N207" s="13">
        <f t="shared" si="19"/>
        <v>4900</v>
      </c>
      <c r="O207" s="17">
        <f t="shared" si="20"/>
        <v>1.723180344622693E+16</v>
      </c>
      <c r="Q207" s="5">
        <f t="shared" si="21"/>
        <v>-98</v>
      </c>
      <c r="R207" s="16">
        <f t="shared" si="22"/>
        <v>9.8000000000000004E-2</v>
      </c>
    </row>
    <row r="208" spans="11:18" x14ac:dyDescent="0.3">
      <c r="K208" s="5">
        <v>197</v>
      </c>
      <c r="L208" s="11">
        <f t="shared" si="18"/>
        <v>1.0301172100154461E+20</v>
      </c>
      <c r="M208" s="11">
        <f t="shared" si="23"/>
        <v>4.6823509546156641E+20</v>
      </c>
      <c r="N208" s="13">
        <f t="shared" si="19"/>
        <v>4925</v>
      </c>
      <c r="O208" s="17">
        <f t="shared" si="20"/>
        <v>2.0916085482547128E+16</v>
      </c>
      <c r="Q208" s="5">
        <f t="shared" si="21"/>
        <v>-98.5</v>
      </c>
      <c r="R208" s="16">
        <f t="shared" si="22"/>
        <v>9.8500000000000004E-2</v>
      </c>
    </row>
    <row r="209" spans="11:18" x14ac:dyDescent="0.3">
      <c r="K209" s="5">
        <v>198</v>
      </c>
      <c r="L209" s="11">
        <f t="shared" si="18"/>
        <v>1.256742996218844E+20</v>
      </c>
      <c r="M209" s="11">
        <f t="shared" si="23"/>
        <v>5.7124681646311106E+20</v>
      </c>
      <c r="N209" s="13">
        <f t="shared" si="19"/>
        <v>4950</v>
      </c>
      <c r="O209" s="17">
        <f t="shared" si="20"/>
        <v>2.5388747398360484E+16</v>
      </c>
      <c r="Q209" s="5">
        <f t="shared" si="21"/>
        <v>-99</v>
      </c>
      <c r="R209" s="16">
        <f t="shared" si="22"/>
        <v>9.9000000000000005E-2</v>
      </c>
    </row>
    <row r="210" spans="11:18" x14ac:dyDescent="0.3">
      <c r="K210" s="5">
        <v>199</v>
      </c>
      <c r="L210" s="11">
        <f t="shared" si="18"/>
        <v>1.5332264553869895E+20</v>
      </c>
      <c r="M210" s="11">
        <f t="shared" si="23"/>
        <v>6.9692111608499549E+20</v>
      </c>
      <c r="N210" s="13">
        <f t="shared" si="19"/>
        <v>4975</v>
      </c>
      <c r="O210" s="17">
        <f t="shared" si="20"/>
        <v>3.081862221883396E+16</v>
      </c>
      <c r="Q210" s="5">
        <f t="shared" si="21"/>
        <v>-99.5</v>
      </c>
      <c r="R210" s="16">
        <f t="shared" si="22"/>
        <v>9.9500000000000005E-2</v>
      </c>
    </row>
    <row r="211" spans="11:18" x14ac:dyDescent="0.3">
      <c r="K211" s="5">
        <v>200</v>
      </c>
      <c r="L211" s="11">
        <f t="shared" si="18"/>
        <v>1.8705362755721272E+20</v>
      </c>
      <c r="M211" s="11">
        <f t="shared" si="23"/>
        <v>8.5024376162369444E+20</v>
      </c>
      <c r="N211" s="13">
        <f t="shared" si="19"/>
        <v>5000</v>
      </c>
      <c r="O211" s="17">
        <f t="shared" si="20"/>
        <v>3.7410725511442544E+16</v>
      </c>
      <c r="Q211" s="5">
        <f t="shared" si="21"/>
        <v>-100</v>
      </c>
      <c r="R211" s="16">
        <f t="shared" si="22"/>
        <v>0.1</v>
      </c>
    </row>
    <row r="212" spans="11:18" x14ac:dyDescent="0.3">
      <c r="K212" s="5">
        <v>201</v>
      </c>
      <c r="L212" s="11">
        <f t="shared" si="18"/>
        <v>2.2820542561979951E+20</v>
      </c>
      <c r="M212" s="11">
        <f t="shared" si="23"/>
        <v>1.0372973891809072E+21</v>
      </c>
      <c r="N212" s="13">
        <f t="shared" si="19"/>
        <v>5025</v>
      </c>
      <c r="O212" s="17">
        <f t="shared" si="20"/>
        <v>4.541401504871632E+16</v>
      </c>
      <c r="Q212" s="5">
        <f t="shared" si="21"/>
        <v>-100.5</v>
      </c>
      <c r="R212" s="16">
        <f t="shared" si="22"/>
        <v>0.10050000000000001</v>
      </c>
    </row>
    <row r="213" spans="11:18" x14ac:dyDescent="0.3">
      <c r="K213" s="5">
        <v>202</v>
      </c>
      <c r="L213" s="11">
        <f t="shared" si="18"/>
        <v>2.7841061925615541E+20</v>
      </c>
      <c r="M213" s="11">
        <f t="shared" si="23"/>
        <v>1.2655028148007065E+21</v>
      </c>
      <c r="N213" s="13">
        <f t="shared" si="19"/>
        <v>5050</v>
      </c>
      <c r="O213" s="17">
        <f t="shared" si="20"/>
        <v>5.51308156942882E+16</v>
      </c>
      <c r="Q213" s="5">
        <f t="shared" si="21"/>
        <v>-101</v>
      </c>
      <c r="R213" s="16">
        <f t="shared" si="22"/>
        <v>0.10100000000000001</v>
      </c>
    </row>
    <row r="214" spans="11:18" x14ac:dyDescent="0.3">
      <c r="K214" s="5">
        <v>203</v>
      </c>
      <c r="L214" s="11">
        <f t="shared" si="18"/>
        <v>3.3966095549250948E+20</v>
      </c>
      <c r="M214" s="11">
        <f t="shared" si="23"/>
        <v>1.5439134340568619E+21</v>
      </c>
      <c r="N214" s="13">
        <f t="shared" si="19"/>
        <v>5075</v>
      </c>
      <c r="O214" s="17">
        <f t="shared" si="20"/>
        <v>6.6928267092120096E+16</v>
      </c>
      <c r="Q214" s="5">
        <f t="shared" si="21"/>
        <v>-101.5</v>
      </c>
      <c r="R214" s="16">
        <f t="shared" si="22"/>
        <v>0.10150000000000001</v>
      </c>
    </row>
    <row r="215" spans="11:18" x14ac:dyDescent="0.3">
      <c r="K215" s="5">
        <v>204</v>
      </c>
      <c r="L215" s="11">
        <f t="shared" si="18"/>
        <v>4.1438636570086166E+20</v>
      </c>
      <c r="M215" s="11">
        <f t="shared" si="23"/>
        <v>1.8835743895493715E+21</v>
      </c>
      <c r="N215" s="13">
        <f t="shared" si="19"/>
        <v>5100</v>
      </c>
      <c r="O215" s="17">
        <f t="shared" si="20"/>
        <v>8.12522285687964E+16</v>
      </c>
      <c r="Q215" s="5">
        <f t="shared" si="21"/>
        <v>-102</v>
      </c>
      <c r="R215" s="16">
        <f t="shared" si="22"/>
        <v>0.10200000000000001</v>
      </c>
    </row>
    <row r="216" spans="11:18" x14ac:dyDescent="0.3">
      <c r="K216" s="5">
        <v>205</v>
      </c>
      <c r="L216" s="11">
        <f t="shared" si="18"/>
        <v>5.0555136615505114E+20</v>
      </c>
      <c r="M216" s="11">
        <f t="shared" si="23"/>
        <v>2.2979607552502331E+21</v>
      </c>
      <c r="N216" s="13">
        <f t="shared" si="19"/>
        <v>5125</v>
      </c>
      <c r="O216" s="17">
        <f t="shared" si="20"/>
        <v>9.8644169005863632E+16</v>
      </c>
      <c r="Q216" s="5">
        <f t="shared" si="21"/>
        <v>-102.5</v>
      </c>
      <c r="R216" s="16">
        <f t="shared" si="22"/>
        <v>0.10250000000000001</v>
      </c>
    </row>
    <row r="217" spans="11:18" x14ac:dyDescent="0.3">
      <c r="K217" s="5">
        <v>206</v>
      </c>
      <c r="L217" s="11">
        <f t="shared" si="18"/>
        <v>6.1677266670916233E+20</v>
      </c>
      <c r="M217" s="11">
        <f t="shared" si="23"/>
        <v>2.803512121405284E+21</v>
      </c>
      <c r="N217" s="13">
        <f t="shared" si="19"/>
        <v>5150</v>
      </c>
      <c r="O217" s="17">
        <f t="shared" si="20"/>
        <v>1.1976168285614803E+17</v>
      </c>
      <c r="Q217" s="5">
        <f t="shared" si="21"/>
        <v>-103</v>
      </c>
      <c r="R217" s="16">
        <f t="shared" si="22"/>
        <v>0.10300000000000001</v>
      </c>
    </row>
    <row r="218" spans="11:18" x14ac:dyDescent="0.3">
      <c r="K218" s="5">
        <v>207</v>
      </c>
      <c r="L218" s="11">
        <f t="shared" si="18"/>
        <v>7.5246265338517809E+20</v>
      </c>
      <c r="M218" s="11">
        <f t="shared" si="23"/>
        <v>3.4202847881144461E+21</v>
      </c>
      <c r="N218" s="13">
        <f t="shared" si="19"/>
        <v>5175</v>
      </c>
      <c r="O218" s="17">
        <f t="shared" si="20"/>
        <v>1.4540341128216003E+17</v>
      </c>
      <c r="Q218" s="5">
        <f t="shared" si="21"/>
        <v>-103.5</v>
      </c>
      <c r="R218" s="16">
        <f t="shared" si="22"/>
        <v>0.10350000000000001</v>
      </c>
    </row>
    <row r="219" spans="11:18" x14ac:dyDescent="0.3">
      <c r="K219" s="5">
        <v>208</v>
      </c>
      <c r="L219" s="11">
        <f t="shared" si="18"/>
        <v>9.1800443712991724E+20</v>
      </c>
      <c r="M219" s="11">
        <f t="shared" si="23"/>
        <v>4.1727474414996244E+21</v>
      </c>
      <c r="N219" s="13">
        <f t="shared" si="19"/>
        <v>5200</v>
      </c>
      <c r="O219" s="17">
        <f t="shared" si="20"/>
        <v>1.7653931483267638E+17</v>
      </c>
      <c r="Q219" s="5">
        <f t="shared" si="21"/>
        <v>-104</v>
      </c>
      <c r="R219" s="16">
        <f t="shared" si="22"/>
        <v>0.10400000000000001</v>
      </c>
    </row>
    <row r="220" spans="11:18" x14ac:dyDescent="0.3">
      <c r="K220" s="5">
        <v>209</v>
      </c>
      <c r="L220" s="11">
        <f t="shared" si="18"/>
        <v>1.119965413298499E+21</v>
      </c>
      <c r="M220" s="11">
        <f t="shared" si="23"/>
        <v>5.0907518786295415E+21</v>
      </c>
      <c r="N220" s="13">
        <f t="shared" si="19"/>
        <v>5225</v>
      </c>
      <c r="O220" s="17">
        <f t="shared" si="20"/>
        <v>2.1434744752124381E+17</v>
      </c>
      <c r="Q220" s="5">
        <f t="shared" si="21"/>
        <v>-104.5</v>
      </c>
      <c r="R220" s="16">
        <f t="shared" si="22"/>
        <v>0.1045</v>
      </c>
    </row>
    <row r="221" spans="11:18" x14ac:dyDescent="0.3">
      <c r="K221" s="5">
        <v>210</v>
      </c>
      <c r="L221" s="11">
        <f t="shared" si="18"/>
        <v>1.3663578042241686E+21</v>
      </c>
      <c r="M221" s="11">
        <f t="shared" si="23"/>
        <v>6.2107172919280402E+21</v>
      </c>
      <c r="N221" s="13">
        <f t="shared" si="19"/>
        <v>5250</v>
      </c>
      <c r="O221" s="17">
        <f t="shared" si="20"/>
        <v>2.6025862937603213E+17</v>
      </c>
      <c r="Q221" s="5">
        <f t="shared" si="21"/>
        <v>-105</v>
      </c>
      <c r="R221" s="16">
        <f t="shared" si="22"/>
        <v>0.105</v>
      </c>
    </row>
    <row r="222" spans="11:18" x14ac:dyDescent="0.3">
      <c r="K222" s="5">
        <v>211</v>
      </c>
      <c r="L222" s="11">
        <f t="shared" si="18"/>
        <v>1.6669565211534856E+21</v>
      </c>
      <c r="M222" s="11">
        <f t="shared" si="23"/>
        <v>7.5770750961522091E+21</v>
      </c>
      <c r="N222" s="13">
        <f t="shared" si="19"/>
        <v>5275</v>
      </c>
      <c r="O222" s="17">
        <f t="shared" si="20"/>
        <v>3.1601071491061338E+17</v>
      </c>
      <c r="Q222" s="5">
        <f t="shared" si="21"/>
        <v>-105.5</v>
      </c>
      <c r="R222" s="16">
        <f t="shared" si="22"/>
        <v>0.1055</v>
      </c>
    </row>
    <row r="223" spans="11:18" x14ac:dyDescent="0.3">
      <c r="K223" s="5">
        <v>212</v>
      </c>
      <c r="L223" s="11">
        <f t="shared" si="18"/>
        <v>2.0336869558072522E+21</v>
      </c>
      <c r="M223" s="11">
        <f t="shared" si="23"/>
        <v>9.2440316173056947E+21</v>
      </c>
      <c r="N223" s="13">
        <f t="shared" si="19"/>
        <v>5300</v>
      </c>
      <c r="O223" s="17">
        <f t="shared" si="20"/>
        <v>3.8371451996363251E+17</v>
      </c>
      <c r="Q223" s="5">
        <f t="shared" si="21"/>
        <v>-106</v>
      </c>
      <c r="R223" s="16">
        <f t="shared" si="22"/>
        <v>0.106</v>
      </c>
    </row>
    <row r="224" spans="11:18" x14ac:dyDescent="0.3">
      <c r="K224" s="5">
        <v>213</v>
      </c>
      <c r="L224" s="11">
        <f t="shared" si="18"/>
        <v>2.4810980860848479E+21</v>
      </c>
      <c r="M224" s="11">
        <f t="shared" si="23"/>
        <v>1.1277718573112946E+22</v>
      </c>
      <c r="N224" s="13">
        <f t="shared" si="19"/>
        <v>5325</v>
      </c>
      <c r="O224" s="17">
        <f t="shared" si="20"/>
        <v>4.6593391287978362E+17</v>
      </c>
      <c r="Q224" s="5">
        <f t="shared" si="21"/>
        <v>-106.5</v>
      </c>
      <c r="R224" s="16">
        <f t="shared" si="22"/>
        <v>0.1065</v>
      </c>
    </row>
    <row r="225" spans="11:18" x14ac:dyDescent="0.3">
      <c r="K225" s="5">
        <v>214</v>
      </c>
      <c r="L225" s="11">
        <f t="shared" si="18"/>
        <v>3.0269396650235139E+21</v>
      </c>
      <c r="M225" s="11">
        <f t="shared" si="23"/>
        <v>1.3758816659197793E+22</v>
      </c>
      <c r="N225" s="13">
        <f t="shared" si="19"/>
        <v>5350</v>
      </c>
      <c r="O225" s="17">
        <f t="shared" si="20"/>
        <v>5.6578311495766618E+17</v>
      </c>
      <c r="Q225" s="5">
        <f t="shared" si="21"/>
        <v>-107</v>
      </c>
      <c r="R225" s="16">
        <f t="shared" si="22"/>
        <v>0.107</v>
      </c>
    </row>
    <row r="226" spans="11:18" x14ac:dyDescent="0.3">
      <c r="K226" s="5">
        <v>215</v>
      </c>
      <c r="L226" s="11">
        <f t="shared" si="18"/>
        <v>3.6928663913286877E+21</v>
      </c>
      <c r="M226" s="11">
        <f t="shared" si="23"/>
        <v>1.6785756324221308E+22</v>
      </c>
      <c r="N226" s="13">
        <f t="shared" si="19"/>
        <v>5375</v>
      </c>
      <c r="O226" s="17">
        <f t="shared" si="20"/>
        <v>6.8704491001463962E+17</v>
      </c>
      <c r="Q226" s="5">
        <f t="shared" si="21"/>
        <v>-107.5</v>
      </c>
      <c r="R226" s="16">
        <f t="shared" si="22"/>
        <v>0.1075</v>
      </c>
    </row>
    <row r="227" spans="11:18" x14ac:dyDescent="0.3">
      <c r="K227" s="5">
        <v>216</v>
      </c>
      <c r="L227" s="11">
        <f t="shared" si="18"/>
        <v>4.5052969974209981E+21</v>
      </c>
      <c r="M227" s="11">
        <f t="shared" si="23"/>
        <v>2.0478622715549994E+22</v>
      </c>
      <c r="N227" s="13">
        <f t="shared" si="19"/>
        <v>5400</v>
      </c>
      <c r="O227" s="17">
        <f t="shared" si="20"/>
        <v>8.343142587816663E+17</v>
      </c>
      <c r="Q227" s="5">
        <f t="shared" si="21"/>
        <v>-108</v>
      </c>
      <c r="R227" s="16">
        <f t="shared" si="22"/>
        <v>0.108</v>
      </c>
    </row>
    <row r="228" spans="11:18" x14ac:dyDescent="0.3">
      <c r="K228" s="5">
        <v>217</v>
      </c>
      <c r="L228" s="11">
        <f t="shared" si="18"/>
        <v>5.4964623368536174E+21</v>
      </c>
      <c r="M228" s="11">
        <f t="shared" si="23"/>
        <v>2.4983919712970991E+22</v>
      </c>
      <c r="N228" s="13">
        <f t="shared" si="19"/>
        <v>5425</v>
      </c>
      <c r="O228" s="17">
        <f t="shared" si="20"/>
        <v>1.0131727809868419E+18</v>
      </c>
      <c r="Q228" s="5">
        <f t="shared" si="21"/>
        <v>-108.5</v>
      </c>
      <c r="R228" s="16">
        <f t="shared" si="22"/>
        <v>0.1085</v>
      </c>
    </row>
    <row r="229" spans="11:18" x14ac:dyDescent="0.3">
      <c r="K229" s="5">
        <v>218</v>
      </c>
      <c r="L229" s="11">
        <f t="shared" si="18"/>
        <v>6.7056840509614132E+21</v>
      </c>
      <c r="M229" s="11">
        <f t="shared" si="23"/>
        <v>3.0480382049824608E+22</v>
      </c>
      <c r="N229" s="13">
        <f t="shared" si="19"/>
        <v>5450</v>
      </c>
      <c r="O229" s="17">
        <f t="shared" si="20"/>
        <v>1.2304007432956721E+18</v>
      </c>
      <c r="Q229" s="5">
        <f t="shared" si="21"/>
        <v>-109</v>
      </c>
      <c r="R229" s="16">
        <f t="shared" si="22"/>
        <v>0.109</v>
      </c>
    </row>
    <row r="230" spans="11:18" x14ac:dyDescent="0.3">
      <c r="K230" s="5">
        <v>219</v>
      </c>
      <c r="L230" s="11">
        <f t="shared" si="18"/>
        <v>8.1809345421729228E+21</v>
      </c>
      <c r="M230" s="11">
        <f t="shared" si="23"/>
        <v>3.7186066100786022E+22</v>
      </c>
      <c r="N230" s="13">
        <f t="shared" si="19"/>
        <v>5475</v>
      </c>
      <c r="O230" s="17">
        <f t="shared" si="20"/>
        <v>1.4942346195749632E+18</v>
      </c>
      <c r="Q230" s="5">
        <f t="shared" si="21"/>
        <v>-109.5</v>
      </c>
      <c r="R230" s="16">
        <f t="shared" si="22"/>
        <v>0.1095</v>
      </c>
    </row>
    <row r="231" spans="11:18" x14ac:dyDescent="0.3">
      <c r="K231" s="5">
        <v>220</v>
      </c>
      <c r="L231" s="11">
        <f t="shared" si="18"/>
        <v>9.9807401414509671E+21</v>
      </c>
      <c r="M231" s="11">
        <f t="shared" si="23"/>
        <v>4.5367000642958945E+22</v>
      </c>
      <c r="N231" s="13">
        <f t="shared" si="19"/>
        <v>5500</v>
      </c>
      <c r="O231" s="17">
        <f t="shared" si="20"/>
        <v>1.8146800257183578E+18</v>
      </c>
      <c r="Q231" s="5">
        <f t="shared" si="21"/>
        <v>-110</v>
      </c>
      <c r="R231" s="16">
        <f t="shared" si="22"/>
        <v>0.11</v>
      </c>
    </row>
    <row r="232" spans="11:18" x14ac:dyDescent="0.3">
      <c r="K232" s="5">
        <v>221</v>
      </c>
      <c r="L232" s="11">
        <f t="shared" si="18"/>
        <v>1.2176502972570178E+22</v>
      </c>
      <c r="M232" s="11">
        <f t="shared" si="23"/>
        <v>5.5347740784409914E+22</v>
      </c>
      <c r="N232" s="13">
        <f t="shared" si="19"/>
        <v>5525</v>
      </c>
      <c r="O232" s="17">
        <f t="shared" si="20"/>
        <v>2.2038919407366838E+18</v>
      </c>
      <c r="Q232" s="5">
        <f t="shared" si="21"/>
        <v>-110.5</v>
      </c>
      <c r="R232" s="16">
        <f t="shared" si="22"/>
        <v>0.1105</v>
      </c>
    </row>
    <row r="233" spans="11:18" x14ac:dyDescent="0.3">
      <c r="K233" s="5">
        <v>222</v>
      </c>
      <c r="L233" s="11">
        <f t="shared" si="18"/>
        <v>1.4855333626535616E+22</v>
      </c>
      <c r="M233" s="11">
        <f t="shared" si="23"/>
        <v>6.7524243756980093E+22</v>
      </c>
      <c r="N233" s="13">
        <f t="shared" si="19"/>
        <v>5550</v>
      </c>
      <c r="O233" s="17">
        <f t="shared" si="20"/>
        <v>2.6766366894658765E+18</v>
      </c>
      <c r="Q233" s="5">
        <f t="shared" si="21"/>
        <v>-111</v>
      </c>
      <c r="R233" s="16">
        <f t="shared" si="22"/>
        <v>0.111</v>
      </c>
    </row>
    <row r="234" spans="11:18" x14ac:dyDescent="0.3">
      <c r="K234" s="5">
        <v>223</v>
      </c>
      <c r="L234" s="11">
        <f t="shared" si="18"/>
        <v>1.8123507024373452E+22</v>
      </c>
      <c r="M234" s="11">
        <f t="shared" si="23"/>
        <v>8.2379577383515704E+22</v>
      </c>
      <c r="N234" s="13">
        <f t="shared" si="19"/>
        <v>5575</v>
      </c>
      <c r="O234" s="17">
        <f t="shared" si="20"/>
        <v>3.2508532779145206E+18</v>
      </c>
      <c r="Q234" s="5">
        <f t="shared" si="21"/>
        <v>-111.5</v>
      </c>
      <c r="R234" s="16">
        <f t="shared" si="22"/>
        <v>0.1115</v>
      </c>
    </row>
    <row r="235" spans="11:18" x14ac:dyDescent="0.3">
      <c r="K235" s="5">
        <v>224</v>
      </c>
      <c r="L235" s="11">
        <f t="shared" si="18"/>
        <v>2.2110678569735609E+22</v>
      </c>
      <c r="M235" s="11">
        <f t="shared" si="23"/>
        <v>1.0050308440788915E+23</v>
      </c>
      <c r="N235" s="13">
        <f t="shared" si="19"/>
        <v>5600</v>
      </c>
      <c r="O235" s="17">
        <f t="shared" si="20"/>
        <v>3.9483354588813588E+18</v>
      </c>
      <c r="Q235" s="5">
        <f t="shared" si="21"/>
        <v>-112</v>
      </c>
      <c r="R235" s="16">
        <f t="shared" si="22"/>
        <v>0.112</v>
      </c>
    </row>
    <row r="236" spans="11:18" x14ac:dyDescent="0.3">
      <c r="K236" s="5">
        <v>225</v>
      </c>
      <c r="L236" s="11">
        <f t="shared" si="18"/>
        <v>2.6975027855077447E+22</v>
      </c>
      <c r="M236" s="11">
        <f t="shared" si="23"/>
        <v>1.2261376297762476E+23</v>
      </c>
      <c r="N236" s="13">
        <f t="shared" si="19"/>
        <v>5625</v>
      </c>
      <c r="O236" s="17">
        <f t="shared" si="20"/>
        <v>4.795560507569324E+18</v>
      </c>
      <c r="Q236" s="5">
        <f t="shared" si="21"/>
        <v>-112.5</v>
      </c>
      <c r="R236" s="16">
        <f t="shared" si="22"/>
        <v>0.1125</v>
      </c>
    </row>
    <row r="237" spans="11:18" x14ac:dyDescent="0.3">
      <c r="K237" s="5">
        <v>226</v>
      </c>
      <c r="L237" s="11">
        <f t="shared" si="18"/>
        <v>3.2909533983194479E+22</v>
      </c>
      <c r="M237" s="11">
        <f t="shared" si="23"/>
        <v>1.495887908327022E+23</v>
      </c>
      <c r="N237" s="13">
        <f t="shared" si="19"/>
        <v>5650</v>
      </c>
      <c r="O237" s="17">
        <f t="shared" si="20"/>
        <v>5.824696280211412E+18</v>
      </c>
      <c r="Q237" s="5">
        <f t="shared" si="21"/>
        <v>-113</v>
      </c>
      <c r="R237" s="16">
        <f t="shared" si="22"/>
        <v>0.113</v>
      </c>
    </row>
    <row r="238" spans="11:18" x14ac:dyDescent="0.3">
      <c r="K238" s="5">
        <v>227</v>
      </c>
      <c r="L238" s="11">
        <f t="shared" si="18"/>
        <v>4.0149631459497261E+22</v>
      </c>
      <c r="M238" s="11">
        <f t="shared" si="23"/>
        <v>1.8249832481589666E+23</v>
      </c>
      <c r="N238" s="13">
        <f t="shared" si="19"/>
        <v>5675</v>
      </c>
      <c r="O238" s="17">
        <f t="shared" si="20"/>
        <v>7.074824926783658E+18</v>
      </c>
      <c r="Q238" s="5">
        <f t="shared" si="21"/>
        <v>-113.5</v>
      </c>
      <c r="R238" s="16">
        <f t="shared" si="22"/>
        <v>0.1135</v>
      </c>
    </row>
    <row r="239" spans="11:18" x14ac:dyDescent="0.3">
      <c r="K239" s="5">
        <v>228</v>
      </c>
      <c r="L239" s="11">
        <f t="shared" si="18"/>
        <v>4.8982550380586664E+22</v>
      </c>
      <c r="M239" s="11">
        <f t="shared" si="23"/>
        <v>2.2264795627539391E+23</v>
      </c>
      <c r="N239" s="13">
        <f t="shared" si="19"/>
        <v>5700</v>
      </c>
      <c r="O239" s="17">
        <f t="shared" si="20"/>
        <v>8.5934298913309942E+18</v>
      </c>
      <c r="Q239" s="5">
        <f t="shared" si="21"/>
        <v>-114</v>
      </c>
      <c r="R239" s="16">
        <f t="shared" si="22"/>
        <v>0.114</v>
      </c>
    </row>
    <row r="240" spans="11:18" x14ac:dyDescent="0.3">
      <c r="K240" s="5">
        <v>229</v>
      </c>
      <c r="L240" s="11">
        <f t="shared" si="18"/>
        <v>5.9758711464315723E+22</v>
      </c>
      <c r="M240" s="11">
        <f t="shared" si="23"/>
        <v>2.7163050665598056E+23</v>
      </c>
      <c r="N240" s="13">
        <f t="shared" si="19"/>
        <v>5725</v>
      </c>
      <c r="O240" s="17">
        <f t="shared" si="20"/>
        <v>1.0438202875863009E+19</v>
      </c>
      <c r="Q240" s="5">
        <f t="shared" si="21"/>
        <v>-114.5</v>
      </c>
      <c r="R240" s="16">
        <f t="shared" si="22"/>
        <v>0.1145</v>
      </c>
    </row>
    <row r="241" spans="11:18" x14ac:dyDescent="0.3">
      <c r="K241" s="5">
        <v>230</v>
      </c>
      <c r="L241" s="11">
        <f t="shared" si="18"/>
        <v>7.2905627986465166E+22</v>
      </c>
      <c r="M241" s="11">
        <f t="shared" si="23"/>
        <v>3.3138921812029632E+23</v>
      </c>
      <c r="N241" s="13">
        <f t="shared" si="19"/>
        <v>5750</v>
      </c>
      <c r="O241" s="17">
        <f t="shared" si="20"/>
        <v>1.2679239649820029E+19</v>
      </c>
      <c r="Q241" s="5">
        <f t="shared" si="21"/>
        <v>-115</v>
      </c>
      <c r="R241" s="16">
        <f t="shared" si="22"/>
        <v>0.115</v>
      </c>
    </row>
    <row r="242" spans="11:18" x14ac:dyDescent="0.3">
      <c r="K242" s="5">
        <v>231</v>
      </c>
      <c r="L242" s="11">
        <f t="shared" si="18"/>
        <v>8.8944866143487522E+22</v>
      </c>
      <c r="M242" s="11">
        <f t="shared" si="23"/>
        <v>4.0429484610676146E+23</v>
      </c>
      <c r="N242" s="13">
        <f t="shared" si="19"/>
        <v>5775</v>
      </c>
      <c r="O242" s="17">
        <f t="shared" si="20"/>
        <v>1.5401708423114723E+19</v>
      </c>
      <c r="Q242" s="5">
        <f t="shared" si="21"/>
        <v>-115.5</v>
      </c>
      <c r="R242" s="16">
        <f t="shared" si="22"/>
        <v>0.11550000000000001</v>
      </c>
    </row>
    <row r="243" spans="11:18" x14ac:dyDescent="0.3">
      <c r="K243" s="5">
        <v>232</v>
      </c>
      <c r="L243" s="11">
        <f t="shared" si="18"/>
        <v>1.0851273669505474E+23</v>
      </c>
      <c r="M243" s="11">
        <f t="shared" si="23"/>
        <v>4.9323971225024894E+23</v>
      </c>
      <c r="N243" s="13">
        <f t="shared" si="19"/>
        <v>5800</v>
      </c>
      <c r="O243" s="17">
        <f t="shared" si="20"/>
        <v>1.8709092533630128E+19</v>
      </c>
      <c r="Q243" s="5">
        <f t="shared" si="21"/>
        <v>-116</v>
      </c>
      <c r="R243" s="16">
        <f t="shared" si="22"/>
        <v>0.11600000000000001</v>
      </c>
    </row>
    <row r="244" spans="11:18" x14ac:dyDescent="0.3">
      <c r="K244" s="5">
        <v>233</v>
      </c>
      <c r="L244" s="11">
        <f t="shared" si="18"/>
        <v>1.3238553876796679E+23</v>
      </c>
      <c r="M244" s="11">
        <f t="shared" si="23"/>
        <v>6.0175244894530367E+23</v>
      </c>
      <c r="N244" s="13">
        <f t="shared" si="19"/>
        <v>5825</v>
      </c>
      <c r="O244" s="17">
        <f t="shared" si="20"/>
        <v>2.2727131118964257E+19</v>
      </c>
      <c r="Q244" s="5">
        <f t="shared" si="21"/>
        <v>-116.5</v>
      </c>
      <c r="R244" s="16">
        <f t="shared" si="22"/>
        <v>0.11650000000000001</v>
      </c>
    </row>
    <row r="245" spans="11:18" x14ac:dyDescent="0.3">
      <c r="K245" s="5">
        <v>234</v>
      </c>
      <c r="L245" s="11">
        <f t="shared" si="18"/>
        <v>1.6151035729691943E+23</v>
      </c>
      <c r="M245" s="11">
        <f t="shared" si="23"/>
        <v>7.3413798771327051E+23</v>
      </c>
      <c r="N245" s="13">
        <f t="shared" si="19"/>
        <v>5850</v>
      </c>
      <c r="O245" s="17">
        <f t="shared" si="20"/>
        <v>2.7608608084943491E+19</v>
      </c>
      <c r="Q245" s="5">
        <f t="shared" si="21"/>
        <v>-117</v>
      </c>
      <c r="R245" s="16">
        <f t="shared" si="22"/>
        <v>0.11700000000000001</v>
      </c>
    </row>
    <row r="246" spans="11:18" x14ac:dyDescent="0.3">
      <c r="K246" s="5">
        <v>235</v>
      </c>
      <c r="L246" s="11">
        <f t="shared" si="18"/>
        <v>1.9704263590224177E+23</v>
      </c>
      <c r="M246" s="11">
        <f t="shared" si="23"/>
        <v>8.9564834501018998E+23</v>
      </c>
      <c r="N246" s="13">
        <f t="shared" si="19"/>
        <v>5875</v>
      </c>
      <c r="O246" s="17">
        <f t="shared" si="20"/>
        <v>3.3539172068466684E+19</v>
      </c>
      <c r="Q246" s="5">
        <f t="shared" si="21"/>
        <v>-117.5</v>
      </c>
      <c r="R246" s="16">
        <f t="shared" si="22"/>
        <v>0.11750000000000001</v>
      </c>
    </row>
    <row r="247" spans="11:18" x14ac:dyDescent="0.3">
      <c r="K247" s="5">
        <v>236</v>
      </c>
      <c r="L247" s="11">
        <f t="shared" si="18"/>
        <v>2.4039201580073493E+23</v>
      </c>
      <c r="M247" s="11">
        <f t="shared" si="23"/>
        <v>1.0926909809124317E+24</v>
      </c>
      <c r="N247" s="13">
        <f t="shared" si="19"/>
        <v>5900</v>
      </c>
      <c r="O247" s="17">
        <f t="shared" si="20"/>
        <v>4.0744409457751687E+19</v>
      </c>
      <c r="Q247" s="5">
        <f t="shared" si="21"/>
        <v>-118</v>
      </c>
      <c r="R247" s="16">
        <f t="shared" si="22"/>
        <v>0.11800000000000001</v>
      </c>
    </row>
    <row r="248" spans="11:18" x14ac:dyDescent="0.3">
      <c r="K248" s="5">
        <v>237</v>
      </c>
      <c r="L248" s="11">
        <f t="shared" si="18"/>
        <v>2.9327825927689663E+23</v>
      </c>
      <c r="M248" s="11">
        <f t="shared" si="23"/>
        <v>1.3330829967131668E+24</v>
      </c>
      <c r="N248" s="13">
        <f t="shared" si="19"/>
        <v>5925</v>
      </c>
      <c r="O248" s="17">
        <f t="shared" si="20"/>
        <v>4.9498440384286351E+19</v>
      </c>
      <c r="Q248" s="5">
        <f t="shared" si="21"/>
        <v>-118.5</v>
      </c>
      <c r="R248" s="16">
        <f t="shared" si="22"/>
        <v>0.11850000000000001</v>
      </c>
    </row>
    <row r="249" spans="11:18" x14ac:dyDescent="0.3">
      <c r="K249" s="5">
        <v>238</v>
      </c>
      <c r="L249" s="11">
        <f t="shared" si="18"/>
        <v>3.5779947631781383E+23</v>
      </c>
      <c r="M249" s="11">
        <f t="shared" si="23"/>
        <v>1.6263612559900635E+24</v>
      </c>
      <c r="N249" s="13">
        <f t="shared" si="19"/>
        <v>5950</v>
      </c>
      <c r="O249" s="17">
        <f t="shared" si="20"/>
        <v>6.01343657676998E+19</v>
      </c>
      <c r="Q249" s="5">
        <f t="shared" si="21"/>
        <v>-119</v>
      </c>
      <c r="R249" s="16">
        <f t="shared" si="22"/>
        <v>0.11900000000000001</v>
      </c>
    </row>
    <row r="250" spans="11:18" x14ac:dyDescent="0.3">
      <c r="K250" s="5">
        <v>239</v>
      </c>
      <c r="L250" s="11">
        <f t="shared" si="18"/>
        <v>4.365153611077329E+23</v>
      </c>
      <c r="M250" s="11">
        <f t="shared" si="23"/>
        <v>1.9841607323078772E+24</v>
      </c>
      <c r="N250" s="13">
        <f t="shared" si="19"/>
        <v>5975</v>
      </c>
      <c r="O250" s="17">
        <f t="shared" si="20"/>
        <v>7.305696420213103E+19</v>
      </c>
      <c r="Q250" s="5">
        <f t="shared" si="21"/>
        <v>-119.5</v>
      </c>
      <c r="R250" s="16">
        <f t="shared" si="22"/>
        <v>0.11950000000000001</v>
      </c>
    </row>
    <row r="251" spans="11:18" x14ac:dyDescent="0.3">
      <c r="K251" s="5">
        <v>240</v>
      </c>
      <c r="L251" s="11">
        <f t="shared" si="18"/>
        <v>5.3254874055143407E+23</v>
      </c>
      <c r="M251" s="11">
        <f t="shared" si="23"/>
        <v>2.42067609341561E+24</v>
      </c>
      <c r="N251" s="13">
        <f t="shared" si="19"/>
        <v>6000</v>
      </c>
      <c r="O251" s="17">
        <f t="shared" si="20"/>
        <v>8.8758123425239007E+19</v>
      </c>
      <c r="Q251" s="5">
        <f t="shared" si="21"/>
        <v>-120</v>
      </c>
      <c r="R251" s="16">
        <f t="shared" si="22"/>
        <v>0.12</v>
      </c>
    </row>
    <row r="252" spans="11:18" x14ac:dyDescent="0.3">
      <c r="K252" s="5">
        <v>241</v>
      </c>
      <c r="L252" s="11">
        <f t="shared" si="18"/>
        <v>6.4970946347274949E+23</v>
      </c>
      <c r="M252" s="11">
        <f t="shared" si="23"/>
        <v>2.953224833967044E+24</v>
      </c>
      <c r="N252" s="13">
        <f t="shared" si="19"/>
        <v>6025</v>
      </c>
      <c r="O252" s="17">
        <f t="shared" si="20"/>
        <v>1.0783559559713684E+20</v>
      </c>
      <c r="Q252" s="5">
        <f t="shared" si="21"/>
        <v>-120.5</v>
      </c>
      <c r="R252" s="16">
        <f t="shared" si="22"/>
        <v>0.1205</v>
      </c>
    </row>
    <row r="253" spans="11:18" x14ac:dyDescent="0.3">
      <c r="K253" s="5">
        <v>242</v>
      </c>
      <c r="L253" s="11">
        <f t="shared" si="18"/>
        <v>7.9264554543675454E+23</v>
      </c>
      <c r="M253" s="11">
        <f t="shared" si="23"/>
        <v>3.6029342974397938E+24</v>
      </c>
      <c r="N253" s="13">
        <f t="shared" si="19"/>
        <v>6050</v>
      </c>
      <c r="O253" s="17">
        <f t="shared" si="20"/>
        <v>1.3101579263417431E+20</v>
      </c>
      <c r="Q253" s="5">
        <f t="shared" si="21"/>
        <v>-121</v>
      </c>
      <c r="R253" s="16">
        <f t="shared" si="22"/>
        <v>0.121</v>
      </c>
    </row>
    <row r="254" spans="11:18" x14ac:dyDescent="0.3">
      <c r="K254" s="5">
        <v>243</v>
      </c>
      <c r="L254" s="11">
        <f t="shared" si="18"/>
        <v>9.6702756543284023E+23</v>
      </c>
      <c r="M254" s="11">
        <f t="shared" si="23"/>
        <v>4.3955798428765483E+24</v>
      </c>
      <c r="N254" s="13">
        <f t="shared" si="19"/>
        <v>6075</v>
      </c>
      <c r="O254" s="17">
        <f t="shared" si="20"/>
        <v>1.5918149225231938E+20</v>
      </c>
      <c r="Q254" s="5">
        <f t="shared" si="21"/>
        <v>-121.5</v>
      </c>
      <c r="R254" s="16">
        <f t="shared" si="22"/>
        <v>0.1215</v>
      </c>
    </row>
    <row r="255" spans="11:18" x14ac:dyDescent="0.3">
      <c r="K255" s="5">
        <v>244</v>
      </c>
      <c r="L255" s="11">
        <f t="shared" si="18"/>
        <v>1.179773629828065E+24</v>
      </c>
      <c r="M255" s="11">
        <f t="shared" si="23"/>
        <v>5.3626074083093881E+24</v>
      </c>
      <c r="N255" s="13">
        <f t="shared" si="19"/>
        <v>6100</v>
      </c>
      <c r="O255" s="17">
        <f t="shared" si="20"/>
        <v>1.9340551308656804E+20</v>
      </c>
      <c r="Q255" s="5">
        <f t="shared" si="21"/>
        <v>-122</v>
      </c>
      <c r="R255" s="16">
        <f t="shared" si="22"/>
        <v>0.122</v>
      </c>
    </row>
    <row r="256" spans="11:18" x14ac:dyDescent="0.3">
      <c r="K256" s="5">
        <v>245</v>
      </c>
      <c r="L256" s="11">
        <f t="shared" si="18"/>
        <v>1.4393238283902395E+24</v>
      </c>
      <c r="M256" s="11">
        <f t="shared" si="23"/>
        <v>6.5423810381374531E+24</v>
      </c>
      <c r="N256" s="13">
        <f t="shared" si="19"/>
        <v>6125</v>
      </c>
      <c r="O256" s="17">
        <f t="shared" si="20"/>
        <v>2.3499164545146769E+20</v>
      </c>
      <c r="Q256" s="5">
        <f t="shared" si="21"/>
        <v>-122.5</v>
      </c>
      <c r="R256" s="16">
        <f t="shared" si="22"/>
        <v>0.1225</v>
      </c>
    </row>
    <row r="257" spans="11:18" x14ac:dyDescent="0.3">
      <c r="K257" s="5">
        <v>246</v>
      </c>
      <c r="L257" s="11">
        <f t="shared" si="18"/>
        <v>1.7559750706360918E+24</v>
      </c>
      <c r="M257" s="11">
        <f t="shared" si="23"/>
        <v>7.9817048665276926E+24</v>
      </c>
      <c r="N257" s="13">
        <f t="shared" si="19"/>
        <v>6150</v>
      </c>
      <c r="O257" s="17">
        <f t="shared" si="20"/>
        <v>2.8552440172944582E+20</v>
      </c>
      <c r="Q257" s="5">
        <f t="shared" si="21"/>
        <v>-123</v>
      </c>
      <c r="R257" s="16">
        <f t="shared" si="22"/>
        <v>0.123</v>
      </c>
    </row>
    <row r="258" spans="11:18" x14ac:dyDescent="0.3">
      <c r="K258" s="5">
        <v>247</v>
      </c>
      <c r="L258" s="11">
        <f t="shared" si="18"/>
        <v>2.1422895861760324E+24</v>
      </c>
      <c r="M258" s="11">
        <f t="shared" si="23"/>
        <v>9.7376799371637836E+24</v>
      </c>
      <c r="N258" s="13">
        <f t="shared" si="19"/>
        <v>6175</v>
      </c>
      <c r="O258" s="17">
        <f t="shared" si="20"/>
        <v>3.4692948763984331E+20</v>
      </c>
      <c r="Q258" s="5">
        <f t="shared" si="21"/>
        <v>-123.5</v>
      </c>
      <c r="R258" s="16">
        <f t="shared" si="22"/>
        <v>0.1235</v>
      </c>
    </row>
    <row r="259" spans="11:18" x14ac:dyDescent="0.3">
      <c r="K259" s="5">
        <v>248</v>
      </c>
      <c r="L259" s="11">
        <f t="shared" si="18"/>
        <v>2.6135932951347591E+24</v>
      </c>
      <c r="M259" s="11">
        <f t="shared" si="23"/>
        <v>1.1879969523339815E+25</v>
      </c>
      <c r="N259" s="13">
        <f t="shared" si="19"/>
        <v>6200</v>
      </c>
      <c r="O259" s="17">
        <f t="shared" si="20"/>
        <v>4.2154730566689659E+20</v>
      </c>
      <c r="Q259" s="5">
        <f t="shared" si="21"/>
        <v>-124</v>
      </c>
      <c r="R259" s="16">
        <f t="shared" si="22"/>
        <v>0.124</v>
      </c>
    </row>
    <row r="260" spans="11:18" x14ac:dyDescent="0.3">
      <c r="K260" s="5">
        <v>249</v>
      </c>
      <c r="L260" s="11">
        <f t="shared" si="18"/>
        <v>3.1885838200644057E+24</v>
      </c>
      <c r="M260" s="11">
        <f t="shared" si="23"/>
        <v>1.4493562818474574E+25</v>
      </c>
      <c r="N260" s="13">
        <f t="shared" si="19"/>
        <v>6225</v>
      </c>
      <c r="O260" s="17">
        <f t="shared" si="20"/>
        <v>5.1222230041195269E+20</v>
      </c>
      <c r="Q260" s="5">
        <f t="shared" si="21"/>
        <v>-124.5</v>
      </c>
      <c r="R260" s="16">
        <f t="shared" si="22"/>
        <v>0.1245</v>
      </c>
    </row>
    <row r="261" spans="11:18" x14ac:dyDescent="0.3">
      <c r="K261" s="5">
        <v>250</v>
      </c>
      <c r="L261" s="11">
        <f t="shared" si="18"/>
        <v>3.8900722604785752E+24</v>
      </c>
      <c r="M261" s="11">
        <f t="shared" si="23"/>
        <v>1.768214663853898E+25</v>
      </c>
      <c r="N261" s="13">
        <f t="shared" si="19"/>
        <v>6250</v>
      </c>
      <c r="O261" s="17">
        <f t="shared" si="20"/>
        <v>6.2241156167657207E+20</v>
      </c>
      <c r="Q261" s="5">
        <f t="shared" si="21"/>
        <v>-125</v>
      </c>
      <c r="R261" s="16">
        <f t="shared" si="22"/>
        <v>0.125</v>
      </c>
    </row>
    <row r="262" spans="11:18" x14ac:dyDescent="0.3">
      <c r="K262" s="5">
        <v>251</v>
      </c>
      <c r="L262" s="11">
        <f t="shared" si="18"/>
        <v>4.7458881577838613E+24</v>
      </c>
      <c r="M262" s="11">
        <f t="shared" si="23"/>
        <v>2.1572218899017554E+25</v>
      </c>
      <c r="N262" s="13">
        <f t="shared" si="19"/>
        <v>6275</v>
      </c>
      <c r="O262" s="17">
        <f t="shared" si="20"/>
        <v>7.563168378938424E+20</v>
      </c>
      <c r="Q262" s="5">
        <f t="shared" si="21"/>
        <v>-125.5</v>
      </c>
      <c r="R262" s="16">
        <f t="shared" si="22"/>
        <v>0.1255</v>
      </c>
    </row>
    <row r="263" spans="11:18" x14ac:dyDescent="0.3">
      <c r="K263" s="5">
        <v>252</v>
      </c>
      <c r="L263" s="11">
        <f t="shared" si="18"/>
        <v>5.789983552496311E+24</v>
      </c>
      <c r="M263" s="11">
        <f t="shared" si="23"/>
        <v>2.6318107056801416E+25</v>
      </c>
      <c r="N263" s="13">
        <f t="shared" si="19"/>
        <v>6300</v>
      </c>
      <c r="O263" s="17">
        <f t="shared" si="20"/>
        <v>9.1904500833274783E+20</v>
      </c>
      <c r="Q263" s="5">
        <f t="shared" si="21"/>
        <v>-126</v>
      </c>
      <c r="R263" s="16">
        <f t="shared" si="22"/>
        <v>0.126</v>
      </c>
    </row>
    <row r="264" spans="11:18" x14ac:dyDescent="0.3">
      <c r="K264" s="5">
        <v>253</v>
      </c>
      <c r="L264" s="11">
        <f t="shared" si="18"/>
        <v>7.0637799340454988E+24</v>
      </c>
      <c r="M264" s="11">
        <f t="shared" si="23"/>
        <v>3.2108090609297728E+25</v>
      </c>
      <c r="N264" s="13">
        <f t="shared" si="19"/>
        <v>6325</v>
      </c>
      <c r="O264" s="17">
        <f t="shared" si="20"/>
        <v>1.1168031516277468E+21</v>
      </c>
      <c r="Q264" s="5">
        <f t="shared" si="21"/>
        <v>-126.5</v>
      </c>
      <c r="R264" s="16">
        <f t="shared" si="22"/>
        <v>0.1265</v>
      </c>
    </row>
    <row r="265" spans="11:18" x14ac:dyDescent="0.3">
      <c r="K265" s="5">
        <v>254</v>
      </c>
      <c r="L265" s="11">
        <f t="shared" si="18"/>
        <v>8.6178115195355075E+24</v>
      </c>
      <c r="M265" s="11">
        <f t="shared" si="23"/>
        <v>3.917187054334323E+25</v>
      </c>
      <c r="N265" s="13">
        <f t="shared" si="19"/>
        <v>6350</v>
      </c>
      <c r="O265" s="17">
        <f t="shared" si="20"/>
        <v>1.3571356723677965E+21</v>
      </c>
      <c r="Q265" s="5">
        <f t="shared" si="21"/>
        <v>-127</v>
      </c>
      <c r="R265" s="16">
        <f t="shared" si="22"/>
        <v>0.127</v>
      </c>
    </row>
    <row r="266" spans="11:18" x14ac:dyDescent="0.3">
      <c r="K266" s="5">
        <v>255</v>
      </c>
      <c r="L266" s="11">
        <f t="shared" si="18"/>
        <v>1.0513730053833321E+25</v>
      </c>
      <c r="M266" s="11">
        <f t="shared" si="23"/>
        <v>4.7789682062878735E+25</v>
      </c>
      <c r="N266" s="13">
        <f t="shared" si="19"/>
        <v>6375</v>
      </c>
      <c r="O266" s="17">
        <f t="shared" si="20"/>
        <v>1.6492125574640503E+21</v>
      </c>
      <c r="Q266" s="5">
        <f t="shared" si="21"/>
        <v>-127.5</v>
      </c>
      <c r="R266" s="16">
        <f t="shared" si="22"/>
        <v>0.1275</v>
      </c>
    </row>
    <row r="267" spans="11:18" x14ac:dyDescent="0.3">
      <c r="K267" s="5">
        <v>256</v>
      </c>
      <c r="L267" s="11">
        <f t="shared" ref="L267:L330" si="24">$I$6*($I$7^K267)</f>
        <v>1.2826750665676649E+25</v>
      </c>
      <c r="M267" s="11">
        <f t="shared" si="23"/>
        <v>5.8303412116712058E+25</v>
      </c>
      <c r="N267" s="13">
        <f t="shared" ref="N267:N331" si="25">K267*$I$8</f>
        <v>6400</v>
      </c>
      <c r="O267" s="17">
        <f t="shared" ref="O267:O330" si="26">L267/N267</f>
        <v>2.0041797915119764E+21</v>
      </c>
      <c r="Q267" s="5">
        <f t="shared" ref="Q267:Q331" si="27">K267*$I$11*$B$8</f>
        <v>-128</v>
      </c>
      <c r="R267" s="16">
        <f t="shared" ref="R267:R331" si="28">K267*$I$12</f>
        <v>0.128</v>
      </c>
    </row>
    <row r="268" spans="11:18" x14ac:dyDescent="0.3">
      <c r="K268" s="5">
        <v>257</v>
      </c>
      <c r="L268" s="11">
        <f t="shared" si="24"/>
        <v>1.5648635812125511E+25</v>
      </c>
      <c r="M268" s="11">
        <f t="shared" ref="M268:M331" si="29">M267+L267</f>
        <v>7.1130162782388703E+25</v>
      </c>
      <c r="N268" s="13">
        <f t="shared" si="25"/>
        <v>6425</v>
      </c>
      <c r="O268" s="17">
        <f t="shared" si="26"/>
        <v>2.4355853404086395E+21</v>
      </c>
      <c r="Q268" s="5">
        <f t="shared" si="27"/>
        <v>-128.5</v>
      </c>
      <c r="R268" s="16">
        <f t="shared" si="28"/>
        <v>0.1285</v>
      </c>
    </row>
    <row r="269" spans="11:18" x14ac:dyDescent="0.3">
      <c r="K269" s="5">
        <v>258</v>
      </c>
      <c r="L269" s="11">
        <f t="shared" si="24"/>
        <v>1.9091335690793125E+25</v>
      </c>
      <c r="M269" s="11">
        <f t="shared" si="29"/>
        <v>8.6778798594514207E+25</v>
      </c>
      <c r="N269" s="13">
        <f t="shared" si="25"/>
        <v>6450</v>
      </c>
      <c r="O269" s="17">
        <f t="shared" si="26"/>
        <v>2.9598970063245153E+21</v>
      </c>
      <c r="Q269" s="5">
        <f t="shared" si="27"/>
        <v>-129</v>
      </c>
      <c r="R269" s="16">
        <f t="shared" si="28"/>
        <v>0.129</v>
      </c>
    </row>
    <row r="270" spans="11:18" x14ac:dyDescent="0.3">
      <c r="K270" s="5">
        <v>259</v>
      </c>
      <c r="L270" s="11">
        <f t="shared" si="24"/>
        <v>2.329142954276761E+25</v>
      </c>
      <c r="M270" s="11">
        <f t="shared" si="29"/>
        <v>1.0587013428530733E+26</v>
      </c>
      <c r="N270" s="13">
        <f t="shared" si="25"/>
        <v>6475</v>
      </c>
      <c r="O270" s="17">
        <f t="shared" si="26"/>
        <v>3.5971319757170053E+21</v>
      </c>
      <c r="Q270" s="5">
        <f t="shared" si="27"/>
        <v>-129.5</v>
      </c>
      <c r="R270" s="16">
        <f t="shared" si="28"/>
        <v>0.1295</v>
      </c>
    </row>
    <row r="271" spans="11:18" x14ac:dyDescent="0.3">
      <c r="K271" s="5">
        <v>260</v>
      </c>
      <c r="L271" s="11">
        <f t="shared" si="24"/>
        <v>2.8415544042176479E+25</v>
      </c>
      <c r="M271" s="11">
        <f t="shared" si="29"/>
        <v>1.2916156382807493E+26</v>
      </c>
      <c r="N271" s="13">
        <f t="shared" si="25"/>
        <v>6500</v>
      </c>
      <c r="O271" s="17">
        <f t="shared" si="26"/>
        <v>4.3716221603348428E+21</v>
      </c>
      <c r="Q271" s="5">
        <f t="shared" si="27"/>
        <v>-130</v>
      </c>
      <c r="R271" s="16">
        <f t="shared" si="28"/>
        <v>0.13</v>
      </c>
    </row>
    <row r="272" spans="11:18" x14ac:dyDescent="0.3">
      <c r="K272" s="5">
        <v>261</v>
      </c>
      <c r="L272" s="11">
        <f t="shared" si="24"/>
        <v>3.4666963731455311E+25</v>
      </c>
      <c r="M272" s="11">
        <f t="shared" si="29"/>
        <v>1.575771078702514E+26</v>
      </c>
      <c r="N272" s="13">
        <f t="shared" si="25"/>
        <v>6525</v>
      </c>
      <c r="O272" s="17">
        <f t="shared" si="26"/>
        <v>5.3129446331732281E+21</v>
      </c>
      <c r="Q272" s="5">
        <f t="shared" si="27"/>
        <v>-130.5</v>
      </c>
      <c r="R272" s="16">
        <f t="shared" si="28"/>
        <v>0.1305</v>
      </c>
    </row>
    <row r="273" spans="11:18" x14ac:dyDescent="0.3">
      <c r="K273" s="5">
        <v>262</v>
      </c>
      <c r="L273" s="11">
        <f t="shared" si="24"/>
        <v>4.2293695752375476E+25</v>
      </c>
      <c r="M273" s="11">
        <f t="shared" si="29"/>
        <v>1.9224407160170672E+26</v>
      </c>
      <c r="N273" s="13">
        <f t="shared" si="25"/>
        <v>6550</v>
      </c>
      <c r="O273" s="17">
        <f t="shared" si="26"/>
        <v>6.4570527866222102E+21</v>
      </c>
      <c r="Q273" s="5">
        <f t="shared" si="27"/>
        <v>-131</v>
      </c>
      <c r="R273" s="16">
        <f t="shared" si="28"/>
        <v>0.13100000000000001</v>
      </c>
    </row>
    <row r="274" spans="11:18" x14ac:dyDescent="0.3">
      <c r="K274" s="5">
        <v>263</v>
      </c>
      <c r="L274" s="11">
        <f t="shared" si="24"/>
        <v>5.1598308817898076E+25</v>
      </c>
      <c r="M274" s="11">
        <f t="shared" si="29"/>
        <v>2.3453776735408219E+26</v>
      </c>
      <c r="N274" s="13">
        <f t="shared" si="25"/>
        <v>6575</v>
      </c>
      <c r="O274" s="17">
        <f t="shared" si="26"/>
        <v>7.8476515312392512E+21</v>
      </c>
      <c r="Q274" s="5">
        <f t="shared" si="27"/>
        <v>-131.5</v>
      </c>
      <c r="R274" s="16">
        <f t="shared" si="28"/>
        <v>0.13150000000000001</v>
      </c>
    </row>
    <row r="275" spans="11:18" x14ac:dyDescent="0.3">
      <c r="K275" s="5">
        <v>264</v>
      </c>
      <c r="L275" s="11">
        <f t="shared" si="24"/>
        <v>6.2949936757835644E+25</v>
      </c>
      <c r="M275" s="11">
        <f t="shared" si="29"/>
        <v>2.8613607617198026E+26</v>
      </c>
      <c r="N275" s="13">
        <f t="shared" si="25"/>
        <v>6600</v>
      </c>
      <c r="O275" s="17">
        <f t="shared" si="26"/>
        <v>9.5378692057326735E+21</v>
      </c>
      <c r="Q275" s="5">
        <f t="shared" si="27"/>
        <v>-132</v>
      </c>
      <c r="R275" s="16">
        <f t="shared" si="28"/>
        <v>0.13200000000000001</v>
      </c>
    </row>
    <row r="276" spans="11:18" x14ac:dyDescent="0.3">
      <c r="K276" s="5">
        <v>265</v>
      </c>
      <c r="L276" s="11">
        <f t="shared" si="24"/>
        <v>7.679892284455948E+25</v>
      </c>
      <c r="M276" s="11">
        <f t="shared" si="29"/>
        <v>3.4908601292981592E+26</v>
      </c>
      <c r="N276" s="13">
        <f t="shared" si="25"/>
        <v>6625</v>
      </c>
      <c r="O276" s="17">
        <f t="shared" si="26"/>
        <v>1.1592290240688223E+22</v>
      </c>
      <c r="Q276" s="5">
        <f t="shared" si="27"/>
        <v>-132.5</v>
      </c>
      <c r="R276" s="16">
        <f t="shared" si="28"/>
        <v>0.13250000000000001</v>
      </c>
    </row>
    <row r="277" spans="11:18" x14ac:dyDescent="0.3">
      <c r="K277" s="5">
        <v>266</v>
      </c>
      <c r="L277" s="11">
        <f t="shared" si="24"/>
        <v>9.3694685870362564E+25</v>
      </c>
      <c r="M277" s="11">
        <f t="shared" si="29"/>
        <v>4.258849357743754E+26</v>
      </c>
      <c r="N277" s="13">
        <f t="shared" si="25"/>
        <v>6650</v>
      </c>
      <c r="O277" s="17">
        <f t="shared" si="26"/>
        <v>1.4089426446671063E+22</v>
      </c>
      <c r="Q277" s="5">
        <f t="shared" si="27"/>
        <v>-133</v>
      </c>
      <c r="R277" s="16">
        <f t="shared" si="28"/>
        <v>0.13300000000000001</v>
      </c>
    </row>
    <row r="278" spans="11:18" x14ac:dyDescent="0.3">
      <c r="K278" s="5">
        <v>267</v>
      </c>
      <c r="L278" s="11">
        <f t="shared" si="24"/>
        <v>1.1430751676184233E+26</v>
      </c>
      <c r="M278" s="11">
        <f t="shared" si="29"/>
        <v>5.19579621644738E+26</v>
      </c>
      <c r="N278" s="13">
        <f t="shared" si="25"/>
        <v>6675</v>
      </c>
      <c r="O278" s="17">
        <f t="shared" si="26"/>
        <v>1.7124721612261022E+22</v>
      </c>
      <c r="Q278" s="5">
        <f t="shared" si="27"/>
        <v>-133.5</v>
      </c>
      <c r="R278" s="16">
        <f t="shared" si="28"/>
        <v>0.13350000000000001</v>
      </c>
    </row>
    <row r="279" spans="11:18" x14ac:dyDescent="0.3">
      <c r="K279" s="5">
        <v>268</v>
      </c>
      <c r="L279" s="11">
        <f t="shared" si="24"/>
        <v>1.3945517044944763E+26</v>
      </c>
      <c r="M279" s="11">
        <f t="shared" si="29"/>
        <v>6.3388713840658029E+26</v>
      </c>
      <c r="N279" s="13">
        <f t="shared" si="25"/>
        <v>6700</v>
      </c>
      <c r="O279" s="17">
        <f t="shared" si="26"/>
        <v>2.0814204544693677E+22</v>
      </c>
      <c r="Q279" s="5">
        <f t="shared" si="27"/>
        <v>-134</v>
      </c>
      <c r="R279" s="16">
        <f t="shared" si="28"/>
        <v>0.13400000000000001</v>
      </c>
    </row>
    <row r="280" spans="11:18" x14ac:dyDescent="0.3">
      <c r="K280" s="5">
        <v>269</v>
      </c>
      <c r="L280" s="11">
        <f t="shared" si="24"/>
        <v>1.701353079483261E+26</v>
      </c>
      <c r="M280" s="11">
        <f t="shared" si="29"/>
        <v>7.7334230885602792E+26</v>
      </c>
      <c r="N280" s="13">
        <f t="shared" si="25"/>
        <v>6725</v>
      </c>
      <c r="O280" s="17">
        <f t="shared" si="26"/>
        <v>2.5298930549936968E+22</v>
      </c>
      <c r="Q280" s="5">
        <f t="shared" si="27"/>
        <v>-134.5</v>
      </c>
      <c r="R280" s="16">
        <f t="shared" si="28"/>
        <v>0.13450000000000001</v>
      </c>
    </row>
    <row r="281" spans="11:18" x14ac:dyDescent="0.3">
      <c r="K281" s="5">
        <v>270</v>
      </c>
      <c r="L281" s="11">
        <f t="shared" si="24"/>
        <v>2.0756507569695783E+26</v>
      </c>
      <c r="M281" s="11">
        <f t="shared" si="29"/>
        <v>9.4347761680435399E+26</v>
      </c>
      <c r="N281" s="13">
        <f t="shared" si="25"/>
        <v>6750</v>
      </c>
      <c r="O281" s="17">
        <f t="shared" si="26"/>
        <v>3.0750381584734495E+22</v>
      </c>
      <c r="Q281" s="5">
        <f t="shared" si="27"/>
        <v>-135</v>
      </c>
      <c r="R281" s="16">
        <f t="shared" si="28"/>
        <v>0.13500000000000001</v>
      </c>
    </row>
    <row r="282" spans="11:18" x14ac:dyDescent="0.3">
      <c r="K282" s="5">
        <v>271</v>
      </c>
      <c r="L282" s="11">
        <f t="shared" si="24"/>
        <v>2.5322939235028856E+26</v>
      </c>
      <c r="M282" s="11">
        <f t="shared" si="29"/>
        <v>1.1510426925013119E+27</v>
      </c>
      <c r="N282" s="13">
        <f t="shared" si="25"/>
        <v>6775</v>
      </c>
      <c r="O282" s="17">
        <f t="shared" si="26"/>
        <v>3.7377032081223402E+22</v>
      </c>
      <c r="Q282" s="5">
        <f t="shared" si="27"/>
        <v>-135.5</v>
      </c>
      <c r="R282" s="16">
        <f t="shared" si="28"/>
        <v>0.13550000000000001</v>
      </c>
    </row>
    <row r="283" spans="11:18" x14ac:dyDescent="0.3">
      <c r="K283" s="5">
        <v>272</v>
      </c>
      <c r="L283" s="11">
        <f t="shared" si="24"/>
        <v>3.08939858667352E+26</v>
      </c>
      <c r="M283" s="11">
        <f t="shared" si="29"/>
        <v>1.4042720848516004E+27</v>
      </c>
      <c r="N283" s="13">
        <f t="shared" si="25"/>
        <v>6800</v>
      </c>
      <c r="O283" s="17">
        <f t="shared" si="26"/>
        <v>4.5432332156963526E+22</v>
      </c>
      <c r="Q283" s="5">
        <f t="shared" si="27"/>
        <v>-136</v>
      </c>
      <c r="R283" s="16">
        <f t="shared" si="28"/>
        <v>0.13600000000000001</v>
      </c>
    </row>
    <row r="284" spans="11:18" x14ac:dyDescent="0.3">
      <c r="K284" s="5">
        <v>273</v>
      </c>
      <c r="L284" s="11">
        <f t="shared" si="24"/>
        <v>3.7690662757416938E+26</v>
      </c>
      <c r="M284" s="11">
        <f t="shared" si="29"/>
        <v>1.7132119435189525E+27</v>
      </c>
      <c r="N284" s="13">
        <f t="shared" si="25"/>
        <v>6825</v>
      </c>
      <c r="O284" s="17">
        <f t="shared" si="26"/>
        <v>5.5224414296581595E+22</v>
      </c>
      <c r="Q284" s="5">
        <f t="shared" si="27"/>
        <v>-136.5</v>
      </c>
      <c r="R284" s="16">
        <f t="shared" si="28"/>
        <v>0.13650000000000001</v>
      </c>
    </row>
    <row r="285" spans="11:18" x14ac:dyDescent="0.3">
      <c r="K285" s="5">
        <v>274</v>
      </c>
      <c r="L285" s="11">
        <f t="shared" si="24"/>
        <v>4.5982608564048666E+26</v>
      </c>
      <c r="M285" s="11">
        <f t="shared" si="29"/>
        <v>2.0901185710931218E+27</v>
      </c>
      <c r="N285" s="13">
        <f t="shared" si="25"/>
        <v>6850</v>
      </c>
      <c r="O285" s="17">
        <f t="shared" si="26"/>
        <v>6.7127895713939655E+22</v>
      </c>
      <c r="Q285" s="5">
        <f t="shared" si="27"/>
        <v>-137</v>
      </c>
      <c r="R285" s="16">
        <f t="shared" si="28"/>
        <v>0.13700000000000001</v>
      </c>
    </row>
    <row r="286" spans="11:18" x14ac:dyDescent="0.3">
      <c r="K286" s="5">
        <v>275</v>
      </c>
      <c r="L286" s="11">
        <f t="shared" si="24"/>
        <v>5.609878244813938E+26</v>
      </c>
      <c r="M286" s="11">
        <f t="shared" si="29"/>
        <v>2.5499446567336084E+27</v>
      </c>
      <c r="N286" s="13">
        <f t="shared" si="25"/>
        <v>6875</v>
      </c>
      <c r="O286" s="17">
        <f t="shared" si="26"/>
        <v>8.1598229015475459E+22</v>
      </c>
      <c r="Q286" s="5">
        <f t="shared" si="27"/>
        <v>-137.5</v>
      </c>
      <c r="R286" s="16">
        <f t="shared" si="28"/>
        <v>0.13750000000000001</v>
      </c>
    </row>
    <row r="287" spans="11:18" x14ac:dyDescent="0.3">
      <c r="K287" s="5">
        <v>276</v>
      </c>
      <c r="L287" s="11">
        <f t="shared" si="24"/>
        <v>6.8440514586730032E+26</v>
      </c>
      <c r="M287" s="11">
        <f t="shared" si="29"/>
        <v>3.1109324812150021E+27</v>
      </c>
      <c r="N287" s="13">
        <f t="shared" si="25"/>
        <v>6900</v>
      </c>
      <c r="O287" s="17">
        <f t="shared" si="26"/>
        <v>9.9189151574971067E+22</v>
      </c>
      <c r="Q287" s="5">
        <f t="shared" si="27"/>
        <v>-138</v>
      </c>
      <c r="R287" s="16">
        <f t="shared" si="28"/>
        <v>0.13800000000000001</v>
      </c>
    </row>
    <row r="288" spans="11:18" x14ac:dyDescent="0.3">
      <c r="K288" s="5">
        <v>277</v>
      </c>
      <c r="L288" s="11">
        <f t="shared" si="24"/>
        <v>8.3497427795810633E+26</v>
      </c>
      <c r="M288" s="11">
        <f t="shared" si="29"/>
        <v>3.7953376270823027E+27</v>
      </c>
      <c r="N288" s="13">
        <f t="shared" si="25"/>
        <v>6925</v>
      </c>
      <c r="O288" s="17">
        <f t="shared" si="26"/>
        <v>1.2057390295423919E+23</v>
      </c>
      <c r="Q288" s="5">
        <f t="shared" si="27"/>
        <v>-138.5</v>
      </c>
      <c r="R288" s="16">
        <f t="shared" si="28"/>
        <v>0.13850000000000001</v>
      </c>
    </row>
    <row r="289" spans="11:18" x14ac:dyDescent="0.3">
      <c r="K289" s="5">
        <v>278</v>
      </c>
      <c r="L289" s="11">
        <f t="shared" si="24"/>
        <v>1.0186686191088897E+27</v>
      </c>
      <c r="M289" s="11">
        <f t="shared" si="29"/>
        <v>4.630311905040409E+27</v>
      </c>
      <c r="N289" s="13">
        <f t="shared" si="25"/>
        <v>6950</v>
      </c>
      <c r="O289" s="17">
        <f t="shared" si="26"/>
        <v>1.4657102433221435E+23</v>
      </c>
      <c r="Q289" s="5">
        <f t="shared" si="27"/>
        <v>-139</v>
      </c>
      <c r="R289" s="16">
        <f t="shared" si="28"/>
        <v>0.13900000000000001</v>
      </c>
    </row>
    <row r="290" spans="11:18" x14ac:dyDescent="0.3">
      <c r="K290" s="5">
        <v>279</v>
      </c>
      <c r="L290" s="11">
        <f t="shared" si="24"/>
        <v>1.2427757153128455E+27</v>
      </c>
      <c r="M290" s="11">
        <f t="shared" si="29"/>
        <v>5.6489805241492984E+27</v>
      </c>
      <c r="N290" s="13">
        <f t="shared" si="25"/>
        <v>6975</v>
      </c>
      <c r="O290" s="17">
        <f t="shared" si="26"/>
        <v>1.7817572979395635E+23</v>
      </c>
      <c r="Q290" s="5">
        <f t="shared" si="27"/>
        <v>-139.5</v>
      </c>
      <c r="R290" s="16">
        <f t="shared" si="28"/>
        <v>0.13950000000000001</v>
      </c>
    </row>
    <row r="291" spans="11:18" x14ac:dyDescent="0.3">
      <c r="K291" s="5">
        <v>280</v>
      </c>
      <c r="L291" s="11">
        <f t="shared" si="24"/>
        <v>1.5161863726816713E+27</v>
      </c>
      <c r="M291" s="11">
        <f t="shared" si="29"/>
        <v>6.8917562394621439E+27</v>
      </c>
      <c r="N291" s="13">
        <f t="shared" si="25"/>
        <v>7000</v>
      </c>
      <c r="O291" s="17">
        <f t="shared" si="26"/>
        <v>2.1659805324023877E+23</v>
      </c>
      <c r="Q291" s="5">
        <f t="shared" si="27"/>
        <v>-140</v>
      </c>
      <c r="R291" s="16">
        <f t="shared" si="28"/>
        <v>0.14000000000000001</v>
      </c>
    </row>
    <row r="292" spans="11:18" x14ac:dyDescent="0.3">
      <c r="K292" s="5">
        <v>281</v>
      </c>
      <c r="L292" s="11">
        <f t="shared" si="24"/>
        <v>1.849747374671639E+27</v>
      </c>
      <c r="M292" s="11">
        <f t="shared" si="29"/>
        <v>8.4079426121438147E+27</v>
      </c>
      <c r="N292" s="13">
        <f t="shared" si="25"/>
        <v>7025</v>
      </c>
      <c r="O292" s="17">
        <f t="shared" si="26"/>
        <v>2.6330923482870304E+23</v>
      </c>
      <c r="Q292" s="5">
        <f t="shared" si="27"/>
        <v>-140.5</v>
      </c>
      <c r="R292" s="16">
        <f t="shared" si="28"/>
        <v>0.14050000000000001</v>
      </c>
    </row>
    <row r="293" spans="11:18" x14ac:dyDescent="0.3">
      <c r="K293" s="5">
        <v>282</v>
      </c>
      <c r="L293" s="11">
        <f t="shared" si="24"/>
        <v>2.2566917970993994E+27</v>
      </c>
      <c r="M293" s="11">
        <f t="shared" si="29"/>
        <v>1.0257689986815455E+28</v>
      </c>
      <c r="N293" s="13">
        <f t="shared" si="25"/>
        <v>7050</v>
      </c>
      <c r="O293" s="17">
        <f t="shared" si="26"/>
        <v>3.2009812724814176E+23</v>
      </c>
      <c r="Q293" s="5">
        <f t="shared" si="27"/>
        <v>-141</v>
      </c>
      <c r="R293" s="16">
        <f t="shared" si="28"/>
        <v>0.14100000000000001</v>
      </c>
    </row>
    <row r="294" spans="11:18" x14ac:dyDescent="0.3">
      <c r="K294" s="5">
        <v>283</v>
      </c>
      <c r="L294" s="11">
        <f t="shared" si="24"/>
        <v>2.753163992461267E+27</v>
      </c>
      <c r="M294" s="11">
        <f t="shared" si="29"/>
        <v>1.2514381783914854E+28</v>
      </c>
      <c r="N294" s="13">
        <f t="shared" si="25"/>
        <v>7075</v>
      </c>
      <c r="O294" s="17">
        <f t="shared" si="26"/>
        <v>3.8913978692032046E+23</v>
      </c>
      <c r="Q294" s="5">
        <f t="shared" si="27"/>
        <v>-141.5</v>
      </c>
      <c r="R294" s="16">
        <f t="shared" si="28"/>
        <v>0.14150000000000001</v>
      </c>
    </row>
    <row r="295" spans="11:18" x14ac:dyDescent="0.3">
      <c r="K295" s="5">
        <v>284</v>
      </c>
      <c r="L295" s="11">
        <f t="shared" si="24"/>
        <v>3.3588600708027453E+27</v>
      </c>
      <c r="M295" s="11">
        <f t="shared" si="29"/>
        <v>1.5267545776376121E+28</v>
      </c>
      <c r="N295" s="13">
        <f t="shared" si="25"/>
        <v>7100</v>
      </c>
      <c r="O295" s="17">
        <f t="shared" si="26"/>
        <v>4.7307888321165426E+23</v>
      </c>
      <c r="Q295" s="5">
        <f t="shared" si="27"/>
        <v>-142</v>
      </c>
      <c r="R295" s="16">
        <f t="shared" si="28"/>
        <v>0.14200000000000002</v>
      </c>
    </row>
    <row r="296" spans="11:18" x14ac:dyDescent="0.3">
      <c r="K296" s="5">
        <v>285</v>
      </c>
      <c r="L296" s="11">
        <f t="shared" si="24"/>
        <v>4.0978092863793497E+27</v>
      </c>
      <c r="M296" s="11">
        <f t="shared" si="29"/>
        <v>1.8626405847178867E+28</v>
      </c>
      <c r="N296" s="13">
        <f t="shared" si="25"/>
        <v>7125</v>
      </c>
      <c r="O296" s="17">
        <f t="shared" si="26"/>
        <v>5.751311279128912E+23</v>
      </c>
      <c r="Q296" s="5">
        <f t="shared" si="27"/>
        <v>-142.5</v>
      </c>
      <c r="R296" s="16">
        <f t="shared" si="28"/>
        <v>0.14250000000000002</v>
      </c>
    </row>
    <row r="297" spans="11:18" x14ac:dyDescent="0.3">
      <c r="K297" s="5">
        <v>286</v>
      </c>
      <c r="L297" s="11">
        <f t="shared" si="24"/>
        <v>4.9993273293828061E+27</v>
      </c>
      <c r="M297" s="11">
        <f t="shared" si="29"/>
        <v>2.2724215133558216E+28</v>
      </c>
      <c r="N297" s="13">
        <f t="shared" si="25"/>
        <v>7150</v>
      </c>
      <c r="O297" s="17">
        <f t="shared" si="26"/>
        <v>6.9920661949409872E+23</v>
      </c>
      <c r="Q297" s="5">
        <f t="shared" si="27"/>
        <v>-143</v>
      </c>
      <c r="R297" s="16">
        <f t="shared" si="28"/>
        <v>0.14300000000000002</v>
      </c>
    </row>
    <row r="298" spans="11:18" x14ac:dyDescent="0.3">
      <c r="K298" s="5">
        <v>287</v>
      </c>
      <c r="L298" s="11">
        <f t="shared" si="24"/>
        <v>6.0991793418470242E+27</v>
      </c>
      <c r="M298" s="11">
        <f t="shared" si="29"/>
        <v>2.7723542462941021E+28</v>
      </c>
      <c r="N298" s="13">
        <f t="shared" si="25"/>
        <v>7175</v>
      </c>
      <c r="O298" s="17">
        <f t="shared" si="26"/>
        <v>8.5005983858495111E+23</v>
      </c>
      <c r="Q298" s="5">
        <f t="shared" si="27"/>
        <v>-143.5</v>
      </c>
      <c r="R298" s="16">
        <f t="shared" si="28"/>
        <v>0.14350000000000002</v>
      </c>
    </row>
    <row r="299" spans="11:18" x14ac:dyDescent="0.3">
      <c r="K299" s="5">
        <v>288</v>
      </c>
      <c r="L299" s="11">
        <f t="shared" si="24"/>
        <v>7.4409987970533683E+27</v>
      </c>
      <c r="M299" s="11">
        <f t="shared" si="29"/>
        <v>3.3822721804788045E+28</v>
      </c>
      <c r="N299" s="13">
        <f t="shared" si="25"/>
        <v>7200</v>
      </c>
      <c r="O299" s="17">
        <f t="shared" si="26"/>
        <v>1.0334720551463012E+24</v>
      </c>
      <c r="Q299" s="5">
        <f t="shared" si="27"/>
        <v>-144</v>
      </c>
      <c r="R299" s="16">
        <f t="shared" si="28"/>
        <v>0.14400000000000002</v>
      </c>
    </row>
    <row r="300" spans="11:18" x14ac:dyDescent="0.3">
      <c r="K300" s="5">
        <v>289</v>
      </c>
      <c r="L300" s="11">
        <f t="shared" si="24"/>
        <v>9.0780185324051087E+27</v>
      </c>
      <c r="M300" s="11">
        <f t="shared" si="29"/>
        <v>4.1263720601841414E+28</v>
      </c>
      <c r="N300" s="13">
        <f t="shared" si="25"/>
        <v>7225</v>
      </c>
      <c r="O300" s="17">
        <f t="shared" si="26"/>
        <v>1.2564731532740634E+24</v>
      </c>
      <c r="Q300" s="5">
        <f t="shared" si="27"/>
        <v>-144.5</v>
      </c>
      <c r="R300" s="16">
        <f t="shared" si="28"/>
        <v>0.14449999999999999</v>
      </c>
    </row>
    <row r="301" spans="11:18" x14ac:dyDescent="0.3">
      <c r="K301" s="5">
        <v>290</v>
      </c>
      <c r="L301" s="11">
        <f t="shared" si="24"/>
        <v>1.107518260953423E+28</v>
      </c>
      <c r="M301" s="11">
        <f t="shared" si="29"/>
        <v>5.0341739134246527E+28</v>
      </c>
      <c r="N301" s="13">
        <f t="shared" si="25"/>
        <v>7250</v>
      </c>
      <c r="O301" s="17">
        <f t="shared" si="26"/>
        <v>1.5276113944185146E+24</v>
      </c>
      <c r="Q301" s="5">
        <f t="shared" si="27"/>
        <v>-145</v>
      </c>
      <c r="R301" s="16">
        <f t="shared" si="28"/>
        <v>0.14499999999999999</v>
      </c>
    </row>
    <row r="302" spans="11:18" x14ac:dyDescent="0.3">
      <c r="K302" s="5">
        <v>291</v>
      </c>
      <c r="L302" s="11">
        <f t="shared" si="24"/>
        <v>1.3511722783631763E+28</v>
      </c>
      <c r="M302" s="11">
        <f t="shared" si="29"/>
        <v>6.1416921743780758E+28</v>
      </c>
      <c r="N302" s="13">
        <f t="shared" si="25"/>
        <v>7275</v>
      </c>
      <c r="O302" s="17">
        <f t="shared" si="26"/>
        <v>1.857281482286153E+24</v>
      </c>
      <c r="Q302" s="5">
        <f t="shared" si="27"/>
        <v>-145.5</v>
      </c>
      <c r="R302" s="16">
        <f t="shared" si="28"/>
        <v>0.14549999999999999</v>
      </c>
    </row>
    <row r="303" spans="11:18" x14ac:dyDescent="0.3">
      <c r="K303" s="5">
        <v>292</v>
      </c>
      <c r="L303" s="11">
        <f t="shared" si="24"/>
        <v>1.648430179603075E+28</v>
      </c>
      <c r="M303" s="11">
        <f t="shared" si="29"/>
        <v>7.4928644527412518E+28</v>
      </c>
      <c r="N303" s="13">
        <f t="shared" si="25"/>
        <v>7300</v>
      </c>
      <c r="O303" s="17">
        <f t="shared" si="26"/>
        <v>2.2581235337028424E+24</v>
      </c>
      <c r="Q303" s="5">
        <f t="shared" si="27"/>
        <v>-146</v>
      </c>
      <c r="R303" s="16">
        <f t="shared" si="28"/>
        <v>0.14599999999999999</v>
      </c>
    </row>
    <row r="304" spans="11:18" x14ac:dyDescent="0.3">
      <c r="K304" s="5">
        <v>293</v>
      </c>
      <c r="L304" s="11">
        <f t="shared" si="24"/>
        <v>2.0110848191157513E+28</v>
      </c>
      <c r="M304" s="11">
        <f t="shared" si="29"/>
        <v>9.1412946323443273E+28</v>
      </c>
      <c r="N304" s="13">
        <f t="shared" si="25"/>
        <v>7325</v>
      </c>
      <c r="O304" s="17">
        <f t="shared" si="26"/>
        <v>2.7455082854822545E+24</v>
      </c>
      <c r="Q304" s="5">
        <f t="shared" si="27"/>
        <v>-146.5</v>
      </c>
      <c r="R304" s="16">
        <f t="shared" si="28"/>
        <v>0.14649999999999999</v>
      </c>
    </row>
    <row r="305" spans="11:18" x14ac:dyDescent="0.3">
      <c r="K305" s="5">
        <v>294</v>
      </c>
      <c r="L305" s="11">
        <f t="shared" si="24"/>
        <v>2.4535234793212162E+28</v>
      </c>
      <c r="M305" s="11">
        <f t="shared" si="29"/>
        <v>1.1152379451460079E+29</v>
      </c>
      <c r="N305" s="13">
        <f t="shared" si="25"/>
        <v>7350</v>
      </c>
      <c r="O305" s="17">
        <f t="shared" si="26"/>
        <v>3.3381271827499539E+24</v>
      </c>
      <c r="Q305" s="5">
        <f t="shared" si="27"/>
        <v>-147</v>
      </c>
      <c r="R305" s="16">
        <f t="shared" si="28"/>
        <v>0.14699999999999999</v>
      </c>
    </row>
    <row r="306" spans="11:18" x14ac:dyDescent="0.3">
      <c r="K306" s="5">
        <v>295</v>
      </c>
      <c r="L306" s="11">
        <f t="shared" si="24"/>
        <v>2.9932986447718843E+28</v>
      </c>
      <c r="M306" s="11">
        <f t="shared" si="29"/>
        <v>1.3605902930781295E+29</v>
      </c>
      <c r="N306" s="13">
        <f t="shared" si="25"/>
        <v>7375</v>
      </c>
      <c r="O306" s="17">
        <f t="shared" si="26"/>
        <v>4.0587100268093348E+24</v>
      </c>
      <c r="Q306" s="5">
        <f t="shared" si="27"/>
        <v>-147.5</v>
      </c>
      <c r="R306" s="16">
        <f t="shared" si="28"/>
        <v>0.14749999999999999</v>
      </c>
    </row>
    <row r="307" spans="11:18" x14ac:dyDescent="0.3">
      <c r="K307" s="5">
        <v>296</v>
      </c>
      <c r="L307" s="11">
        <f t="shared" si="24"/>
        <v>3.6518243466216983E+28</v>
      </c>
      <c r="M307" s="11">
        <f t="shared" si="29"/>
        <v>1.6599201575553177E+29</v>
      </c>
      <c r="N307" s="13">
        <f t="shared" si="25"/>
        <v>7400</v>
      </c>
      <c r="O307" s="17">
        <f t="shared" si="26"/>
        <v>4.9348977657049978E+24</v>
      </c>
      <c r="Q307" s="5">
        <f t="shared" si="27"/>
        <v>-148</v>
      </c>
      <c r="R307" s="16">
        <f t="shared" si="28"/>
        <v>0.14799999999999999</v>
      </c>
    </row>
    <row r="308" spans="11:18" x14ac:dyDescent="0.3">
      <c r="K308" s="5">
        <v>297</v>
      </c>
      <c r="L308" s="11">
        <f t="shared" si="24"/>
        <v>4.4552257028784715E+28</v>
      </c>
      <c r="M308" s="11">
        <f t="shared" si="29"/>
        <v>2.0251025922174877E+29</v>
      </c>
      <c r="N308" s="13">
        <f t="shared" si="25"/>
        <v>7425</v>
      </c>
      <c r="O308" s="17">
        <f t="shared" si="26"/>
        <v>6.0003039769407026E+24</v>
      </c>
      <c r="Q308" s="5">
        <f t="shared" si="27"/>
        <v>-148.5</v>
      </c>
      <c r="R308" s="16">
        <f t="shared" si="28"/>
        <v>0.14849999999999999</v>
      </c>
    </row>
    <row r="309" spans="11:18" x14ac:dyDescent="0.3">
      <c r="K309" s="5">
        <v>298</v>
      </c>
      <c r="L309" s="11">
        <f t="shared" si="24"/>
        <v>5.4353753575117348E+28</v>
      </c>
      <c r="M309" s="11">
        <f t="shared" si="29"/>
        <v>2.4706251625053349E+29</v>
      </c>
      <c r="N309" s="13">
        <f t="shared" si="25"/>
        <v>7450</v>
      </c>
      <c r="O309" s="17">
        <f t="shared" si="26"/>
        <v>7.2958058490090397E+24</v>
      </c>
      <c r="Q309" s="5">
        <f t="shared" si="27"/>
        <v>-149</v>
      </c>
      <c r="R309" s="16">
        <f t="shared" si="28"/>
        <v>0.14899999999999999</v>
      </c>
    </row>
    <row r="310" spans="11:18" x14ac:dyDescent="0.3">
      <c r="K310" s="5">
        <v>299</v>
      </c>
      <c r="L310" s="11">
        <f t="shared" si="24"/>
        <v>6.6311579361643163E+28</v>
      </c>
      <c r="M310" s="11">
        <f t="shared" si="29"/>
        <v>3.0141626982565083E+29</v>
      </c>
      <c r="N310" s="13">
        <f t="shared" si="25"/>
        <v>7475</v>
      </c>
      <c r="O310" s="17">
        <f t="shared" si="26"/>
        <v>8.8711142958719948E+24</v>
      </c>
      <c r="Q310" s="5">
        <f t="shared" si="27"/>
        <v>-149.5</v>
      </c>
      <c r="R310" s="16">
        <f t="shared" si="28"/>
        <v>0.14949999999999999</v>
      </c>
    </row>
    <row r="311" spans="11:18" x14ac:dyDescent="0.3">
      <c r="K311" s="5">
        <v>300</v>
      </c>
      <c r="L311" s="11">
        <f t="shared" si="24"/>
        <v>8.0900126821204654E+28</v>
      </c>
      <c r="M311" s="11">
        <f t="shared" si="29"/>
        <v>3.6772784918729398E+29</v>
      </c>
      <c r="N311" s="13">
        <f t="shared" si="25"/>
        <v>7500</v>
      </c>
      <c r="O311" s="17">
        <f t="shared" si="26"/>
        <v>1.078668357616062E+25</v>
      </c>
      <c r="Q311" s="5">
        <f t="shared" si="27"/>
        <v>-150</v>
      </c>
      <c r="R311" s="16">
        <f t="shared" si="28"/>
        <v>0.15</v>
      </c>
    </row>
    <row r="312" spans="11:18" x14ac:dyDescent="0.3">
      <c r="K312" s="5">
        <v>301</v>
      </c>
      <c r="L312" s="11">
        <f t="shared" si="24"/>
        <v>9.8698154721869669E+28</v>
      </c>
      <c r="M312" s="11">
        <f t="shared" si="29"/>
        <v>4.4862797600849862E+29</v>
      </c>
      <c r="N312" s="13">
        <f t="shared" si="25"/>
        <v>7525</v>
      </c>
      <c r="O312" s="17">
        <f t="shared" si="26"/>
        <v>1.3116033850082349E+25</v>
      </c>
      <c r="Q312" s="5">
        <f t="shared" si="27"/>
        <v>-150.5</v>
      </c>
      <c r="R312" s="16">
        <f t="shared" si="28"/>
        <v>0.15049999999999999</v>
      </c>
    </row>
    <row r="313" spans="11:18" x14ac:dyDescent="0.3">
      <c r="K313" s="5">
        <v>302</v>
      </c>
      <c r="L313" s="11">
        <f t="shared" si="24"/>
        <v>1.2041174876068099E+29</v>
      </c>
      <c r="M313" s="11">
        <f t="shared" si="29"/>
        <v>5.4732613073036825E+29</v>
      </c>
      <c r="N313" s="13">
        <f t="shared" si="25"/>
        <v>7550</v>
      </c>
      <c r="O313" s="17">
        <f t="shared" si="26"/>
        <v>1.5948575994792185E+25</v>
      </c>
      <c r="Q313" s="5">
        <f t="shared" si="27"/>
        <v>-151</v>
      </c>
      <c r="R313" s="16">
        <f t="shared" si="28"/>
        <v>0.151</v>
      </c>
    </row>
    <row r="314" spans="11:18" x14ac:dyDescent="0.3">
      <c r="K314" s="5">
        <v>303</v>
      </c>
      <c r="L314" s="11">
        <f t="shared" si="24"/>
        <v>1.4690233348803082E+29</v>
      </c>
      <c r="M314" s="11">
        <f t="shared" si="29"/>
        <v>6.6773787949104921E+29</v>
      </c>
      <c r="N314" s="13">
        <f t="shared" si="25"/>
        <v>7575</v>
      </c>
      <c r="O314" s="17">
        <f t="shared" si="26"/>
        <v>1.9393047325152585E+25</v>
      </c>
      <c r="Q314" s="5">
        <f t="shared" si="27"/>
        <v>-151.5</v>
      </c>
      <c r="R314" s="16">
        <f t="shared" si="28"/>
        <v>0.1515</v>
      </c>
    </row>
    <row r="315" spans="11:18" x14ac:dyDescent="0.3">
      <c r="K315" s="5">
        <v>304</v>
      </c>
      <c r="L315" s="11">
        <f t="shared" si="24"/>
        <v>1.7922084685539759E+29</v>
      </c>
      <c r="M315" s="11">
        <f t="shared" si="29"/>
        <v>8.1464021297908003E+29</v>
      </c>
      <c r="N315" s="13">
        <f t="shared" si="25"/>
        <v>7600</v>
      </c>
      <c r="O315" s="17">
        <f t="shared" si="26"/>
        <v>2.358169037571021E+25</v>
      </c>
      <c r="Q315" s="5">
        <f t="shared" si="27"/>
        <v>-152</v>
      </c>
      <c r="R315" s="16">
        <f t="shared" si="28"/>
        <v>0.152</v>
      </c>
    </row>
    <row r="316" spans="11:18" x14ac:dyDescent="0.3">
      <c r="K316" s="5">
        <v>305</v>
      </c>
      <c r="L316" s="11">
        <f t="shared" si="24"/>
        <v>2.1864943316358502E+29</v>
      </c>
      <c r="M316" s="11">
        <f t="shared" si="29"/>
        <v>9.9386105983447769E+29</v>
      </c>
      <c r="N316" s="13">
        <f t="shared" si="25"/>
        <v>7625</v>
      </c>
      <c r="O316" s="17">
        <f t="shared" si="26"/>
        <v>2.8675335496863607E+25</v>
      </c>
      <c r="Q316" s="5">
        <f t="shared" si="27"/>
        <v>-152.5</v>
      </c>
      <c r="R316" s="16">
        <f t="shared" si="28"/>
        <v>0.1525</v>
      </c>
    </row>
    <row r="317" spans="11:18" x14ac:dyDescent="0.3">
      <c r="K317" s="5">
        <v>306</v>
      </c>
      <c r="L317" s="11">
        <f t="shared" si="24"/>
        <v>2.6675230845957375E+29</v>
      </c>
      <c r="M317" s="11">
        <f t="shared" si="29"/>
        <v>1.2125104929980627E+30</v>
      </c>
      <c r="N317" s="13">
        <f t="shared" si="25"/>
        <v>7650</v>
      </c>
      <c r="O317" s="17">
        <f t="shared" si="26"/>
        <v>3.4869582805173041E+25</v>
      </c>
      <c r="Q317" s="5">
        <f t="shared" si="27"/>
        <v>-153</v>
      </c>
      <c r="R317" s="16">
        <f t="shared" si="28"/>
        <v>0.153</v>
      </c>
    </row>
    <row r="318" spans="11:18" x14ac:dyDescent="0.3">
      <c r="K318" s="5">
        <v>307</v>
      </c>
      <c r="L318" s="11">
        <f t="shared" si="24"/>
        <v>3.2543781632067993E+29</v>
      </c>
      <c r="M318" s="11">
        <f t="shared" si="29"/>
        <v>1.4792628014576366E+30</v>
      </c>
      <c r="N318" s="13">
        <f t="shared" si="25"/>
        <v>7675</v>
      </c>
      <c r="O318" s="17">
        <f t="shared" si="26"/>
        <v>4.2402321344713994E+25</v>
      </c>
      <c r="Q318" s="5">
        <f t="shared" si="27"/>
        <v>-153.5</v>
      </c>
      <c r="R318" s="16">
        <f t="shared" si="28"/>
        <v>0.1535</v>
      </c>
    </row>
    <row r="319" spans="11:18" x14ac:dyDescent="0.3">
      <c r="K319" s="5">
        <v>308</v>
      </c>
      <c r="L319" s="11">
        <f t="shared" si="24"/>
        <v>3.970341359112295E+29</v>
      </c>
      <c r="M319" s="11">
        <f t="shared" si="29"/>
        <v>1.8047006177783166E+30</v>
      </c>
      <c r="N319" s="13">
        <f t="shared" si="25"/>
        <v>7700</v>
      </c>
      <c r="O319" s="17">
        <f t="shared" si="26"/>
        <v>5.1562874793666168E+25</v>
      </c>
      <c r="Q319" s="5">
        <f t="shared" si="27"/>
        <v>-154</v>
      </c>
      <c r="R319" s="16">
        <f t="shared" si="28"/>
        <v>0.154</v>
      </c>
    </row>
    <row r="320" spans="11:18" x14ac:dyDescent="0.3">
      <c r="K320" s="5">
        <v>309</v>
      </c>
      <c r="L320" s="11">
        <f t="shared" si="24"/>
        <v>4.8438164581169994E+29</v>
      </c>
      <c r="M320" s="11">
        <f t="shared" si="29"/>
        <v>2.2017347536895461E+30</v>
      </c>
      <c r="N320" s="13">
        <f t="shared" si="25"/>
        <v>7725</v>
      </c>
      <c r="O320" s="17">
        <f t="shared" si="26"/>
        <v>6.2703125671417471E+25</v>
      </c>
      <c r="Q320" s="5">
        <f t="shared" si="27"/>
        <v>-154.5</v>
      </c>
      <c r="R320" s="16">
        <f t="shared" si="28"/>
        <v>0.1545</v>
      </c>
    </row>
    <row r="321" spans="11:18" x14ac:dyDescent="0.3">
      <c r="K321" s="5">
        <v>310</v>
      </c>
      <c r="L321" s="11">
        <f t="shared" si="24"/>
        <v>5.9094560789027395E+29</v>
      </c>
      <c r="M321" s="11">
        <f t="shared" si="29"/>
        <v>2.6861163995012461E+30</v>
      </c>
      <c r="N321" s="13">
        <f t="shared" si="25"/>
        <v>7750</v>
      </c>
      <c r="O321" s="17">
        <f t="shared" si="26"/>
        <v>7.6251046179390188E+25</v>
      </c>
      <c r="Q321" s="5">
        <f t="shared" si="27"/>
        <v>-155</v>
      </c>
      <c r="R321" s="16">
        <f t="shared" si="28"/>
        <v>0.155</v>
      </c>
    </row>
    <row r="322" spans="11:18" x14ac:dyDescent="0.3">
      <c r="K322" s="5">
        <v>311</v>
      </c>
      <c r="L322" s="11">
        <f t="shared" si="24"/>
        <v>7.2095364162613429E+29</v>
      </c>
      <c r="M322" s="11">
        <f t="shared" si="29"/>
        <v>3.2770620073915202E+30</v>
      </c>
      <c r="N322" s="13">
        <f t="shared" si="25"/>
        <v>7775</v>
      </c>
      <c r="O322" s="17">
        <f t="shared" si="26"/>
        <v>9.2727156479245563E+25</v>
      </c>
      <c r="Q322" s="5">
        <f t="shared" si="27"/>
        <v>-155.5</v>
      </c>
      <c r="R322" s="16">
        <f t="shared" si="28"/>
        <v>0.1555</v>
      </c>
    </row>
    <row r="323" spans="11:18" x14ac:dyDescent="0.3">
      <c r="K323" s="5">
        <v>312</v>
      </c>
      <c r="L323" s="11">
        <f t="shared" si="24"/>
        <v>8.7956344278388374E+29</v>
      </c>
      <c r="M323" s="11">
        <f t="shared" si="29"/>
        <v>3.9980156490176546E+30</v>
      </c>
      <c r="N323" s="13">
        <f t="shared" si="25"/>
        <v>7800</v>
      </c>
      <c r="O323" s="17">
        <f t="shared" si="26"/>
        <v>1.1276454394665175E+26</v>
      </c>
      <c r="Q323" s="5">
        <f t="shared" si="27"/>
        <v>-156</v>
      </c>
      <c r="R323" s="16">
        <f t="shared" si="28"/>
        <v>0.156</v>
      </c>
    </row>
    <row r="324" spans="11:18" x14ac:dyDescent="0.3">
      <c r="K324" s="5">
        <v>313</v>
      </c>
      <c r="L324" s="11">
        <f t="shared" si="24"/>
        <v>1.073067400196338E+30</v>
      </c>
      <c r="M324" s="11">
        <f t="shared" si="29"/>
        <v>4.8775790918015385E+30</v>
      </c>
      <c r="N324" s="13">
        <f t="shared" si="25"/>
        <v>7825</v>
      </c>
      <c r="O324" s="17">
        <f t="shared" si="26"/>
        <v>1.371332140825991E+26</v>
      </c>
      <c r="Q324" s="5">
        <f t="shared" si="27"/>
        <v>-156.5</v>
      </c>
      <c r="R324" s="16">
        <f t="shared" si="28"/>
        <v>0.1565</v>
      </c>
    </row>
    <row r="325" spans="11:18" x14ac:dyDescent="0.3">
      <c r="K325" s="5">
        <v>314</v>
      </c>
      <c r="L325" s="11">
        <f t="shared" si="24"/>
        <v>1.3091422282395326E+30</v>
      </c>
      <c r="M325" s="11">
        <f t="shared" si="29"/>
        <v>5.9506464919978767E+30</v>
      </c>
      <c r="N325" s="13">
        <f t="shared" si="25"/>
        <v>7850</v>
      </c>
      <c r="O325" s="17">
        <f t="shared" si="26"/>
        <v>1.6676971060376213E+26</v>
      </c>
      <c r="Q325" s="5">
        <f t="shared" si="27"/>
        <v>-157</v>
      </c>
      <c r="R325" s="16">
        <f t="shared" si="28"/>
        <v>0.157</v>
      </c>
    </row>
    <row r="326" spans="11:18" x14ac:dyDescent="0.3">
      <c r="K326" s="5">
        <v>315</v>
      </c>
      <c r="L326" s="11">
        <f t="shared" si="24"/>
        <v>1.5971535184522295E+30</v>
      </c>
      <c r="M326" s="11">
        <f t="shared" si="29"/>
        <v>7.2597887202374096E+30</v>
      </c>
      <c r="N326" s="13">
        <f t="shared" si="25"/>
        <v>7875</v>
      </c>
      <c r="O326" s="17">
        <f t="shared" si="26"/>
        <v>2.0281314520028313E+26</v>
      </c>
      <c r="Q326" s="5">
        <f t="shared" si="27"/>
        <v>-157.5</v>
      </c>
      <c r="R326" s="16">
        <f t="shared" si="28"/>
        <v>0.1575</v>
      </c>
    </row>
    <row r="327" spans="11:18" x14ac:dyDescent="0.3">
      <c r="K327" s="5">
        <v>316</v>
      </c>
      <c r="L327" s="11">
        <f t="shared" si="24"/>
        <v>1.9485272925117199E+30</v>
      </c>
      <c r="M327" s="11">
        <f t="shared" si="29"/>
        <v>8.8569422386896391E+30</v>
      </c>
      <c r="N327" s="13">
        <f t="shared" si="25"/>
        <v>7900</v>
      </c>
      <c r="O327" s="17">
        <f t="shared" si="26"/>
        <v>2.4664902436857213E+26</v>
      </c>
      <c r="Q327" s="5">
        <f t="shared" si="27"/>
        <v>-158</v>
      </c>
      <c r="R327" s="16">
        <f t="shared" si="28"/>
        <v>0.158</v>
      </c>
    </row>
    <row r="328" spans="11:18" x14ac:dyDescent="0.3">
      <c r="K328" s="5">
        <v>317</v>
      </c>
      <c r="L328" s="11">
        <f t="shared" si="24"/>
        <v>2.3772032968642979E+30</v>
      </c>
      <c r="M328" s="11">
        <f t="shared" si="29"/>
        <v>1.0805469531201359E+31</v>
      </c>
      <c r="N328" s="13">
        <f t="shared" si="25"/>
        <v>7925</v>
      </c>
      <c r="O328" s="17">
        <f t="shared" si="26"/>
        <v>2.9996256111852339E+26</v>
      </c>
      <c r="Q328" s="5">
        <f t="shared" si="27"/>
        <v>-158.5</v>
      </c>
      <c r="R328" s="16">
        <f t="shared" si="28"/>
        <v>0.1585</v>
      </c>
    </row>
    <row r="329" spans="11:18" x14ac:dyDescent="0.3">
      <c r="K329" s="5">
        <v>318</v>
      </c>
      <c r="L329" s="11">
        <f t="shared" si="24"/>
        <v>2.9001880221744435E+30</v>
      </c>
      <c r="M329" s="11">
        <f t="shared" si="29"/>
        <v>1.3182672828065657E+31</v>
      </c>
      <c r="N329" s="13">
        <f t="shared" si="25"/>
        <v>7950</v>
      </c>
      <c r="O329" s="17">
        <f t="shared" si="26"/>
        <v>3.6480352480181677E+26</v>
      </c>
      <c r="Q329" s="5">
        <f t="shared" si="27"/>
        <v>-159</v>
      </c>
      <c r="R329" s="16">
        <f t="shared" si="28"/>
        <v>0.159</v>
      </c>
    </row>
    <row r="330" spans="11:18" x14ac:dyDescent="0.3">
      <c r="K330" s="5">
        <v>319</v>
      </c>
      <c r="L330" s="11">
        <f t="shared" si="24"/>
        <v>3.5382293870528212E+30</v>
      </c>
      <c r="M330" s="11">
        <f t="shared" si="29"/>
        <v>1.6082860850240099E+31</v>
      </c>
      <c r="N330" s="13">
        <f t="shared" si="25"/>
        <v>7975</v>
      </c>
      <c r="O330" s="17">
        <f t="shared" si="26"/>
        <v>4.4366512690317506E+26</v>
      </c>
      <c r="Q330" s="5">
        <f t="shared" si="27"/>
        <v>-159.5</v>
      </c>
      <c r="R330" s="16">
        <f t="shared" si="28"/>
        <v>0.1595</v>
      </c>
    </row>
    <row r="331" spans="11:18" x14ac:dyDescent="0.3">
      <c r="K331" s="5">
        <v>320</v>
      </c>
      <c r="L331" s="11">
        <f t="shared" ref="L331:L394" si="30">$I$6*($I$7^K331)</f>
        <v>4.3166398522044409E+30</v>
      </c>
      <c r="M331" s="11">
        <f t="shared" si="29"/>
        <v>1.9621090237292921E+31</v>
      </c>
      <c r="N331" s="13">
        <f t="shared" si="25"/>
        <v>8000</v>
      </c>
      <c r="O331" s="17">
        <f t="shared" ref="O331:O394" si="31">L331/N331</f>
        <v>5.3957998152555511E+26</v>
      </c>
      <c r="Q331" s="5">
        <f t="shared" si="27"/>
        <v>-160</v>
      </c>
      <c r="R331" s="16">
        <f t="shared" si="28"/>
        <v>0.16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331"/>
  <sheetViews>
    <sheetView workbookViewId="0">
      <selection activeCell="H18" sqref="H18"/>
    </sheetView>
  </sheetViews>
  <sheetFormatPr defaultRowHeight="14.4" x14ac:dyDescent="0.3"/>
  <cols>
    <col min="8" max="8" width="25" customWidth="1"/>
    <col min="9" max="9" width="16.5546875" customWidth="1"/>
    <col min="11" max="11" width="12" customWidth="1"/>
    <col min="12" max="12" width="37" customWidth="1"/>
    <col min="13" max="13" width="12.77734375" customWidth="1"/>
    <col min="14" max="14" width="26.21875" style="13" customWidth="1"/>
    <col min="15" max="15" width="24.33203125" customWidth="1"/>
  </cols>
  <sheetData>
    <row r="2" spans="1:18" x14ac:dyDescent="0.3">
      <c r="A2" s="22" t="s">
        <v>181</v>
      </c>
      <c r="H2" s="4"/>
    </row>
    <row r="3" spans="1:18" x14ac:dyDescent="0.3">
      <c r="A3" t="s">
        <v>182</v>
      </c>
      <c r="B3" s="20">
        <f>'Balance Controls'!B7</f>
        <v>5</v>
      </c>
      <c r="H3" s="4"/>
      <c r="I3" t="s">
        <v>197</v>
      </c>
    </row>
    <row r="4" spans="1:18" x14ac:dyDescent="0.3">
      <c r="A4" t="s">
        <v>183</v>
      </c>
      <c r="B4" s="20">
        <f>'Balance Controls'!H7</f>
        <v>1</v>
      </c>
      <c r="H4" s="4"/>
    </row>
    <row r="5" spans="1:18" x14ac:dyDescent="0.3">
      <c r="A5" t="s">
        <v>184</v>
      </c>
      <c r="B5" s="20">
        <f>'Balance Controls'!I7</f>
        <v>1</v>
      </c>
      <c r="H5" s="4" t="s">
        <v>185</v>
      </c>
    </row>
    <row r="6" spans="1:18" x14ac:dyDescent="0.3">
      <c r="A6" t="s">
        <v>186</v>
      </c>
      <c r="B6" s="20">
        <f>'Balance Controls'!J7</f>
        <v>1</v>
      </c>
      <c r="H6" s="4" t="s">
        <v>3</v>
      </c>
      <c r="I6">
        <v>1000</v>
      </c>
    </row>
    <row r="7" spans="1:18" x14ac:dyDescent="0.3">
      <c r="A7" t="s">
        <v>187</v>
      </c>
      <c r="B7" s="20">
        <f>'Balance Controls'!K7</f>
        <v>1</v>
      </c>
      <c r="H7" s="4" t="s">
        <v>188</v>
      </c>
      <c r="I7">
        <v>1.18</v>
      </c>
    </row>
    <row r="8" spans="1:18" x14ac:dyDescent="0.3">
      <c r="A8" t="s">
        <v>189</v>
      </c>
      <c r="B8" s="20">
        <f>'Balance Controls'!L7</f>
        <v>1</v>
      </c>
      <c r="H8" s="4" t="s">
        <v>190</v>
      </c>
      <c r="I8">
        <v>25</v>
      </c>
      <c r="N8" s="13" t="s">
        <v>201</v>
      </c>
    </row>
    <row r="9" spans="1:18" x14ac:dyDescent="0.3">
      <c r="A9" t="s">
        <v>191</v>
      </c>
      <c r="B9" s="20">
        <f>'Balance Controls'!M7</f>
        <v>1</v>
      </c>
      <c r="H9" s="4"/>
    </row>
    <row r="10" spans="1:18" x14ac:dyDescent="0.3">
      <c r="A10" t="s">
        <v>192</v>
      </c>
      <c r="B10" s="20">
        <f>'Balance Controls'!N7</f>
        <v>1</v>
      </c>
      <c r="H10" s="4" t="s">
        <v>198</v>
      </c>
      <c r="I10">
        <v>-1000</v>
      </c>
      <c r="K10" t="s">
        <v>23</v>
      </c>
      <c r="L10" t="s">
        <v>193</v>
      </c>
      <c r="M10" t="s">
        <v>194</v>
      </c>
      <c r="N10" s="14" t="s">
        <v>195</v>
      </c>
      <c r="O10" t="s">
        <v>196</v>
      </c>
      <c r="Q10" t="s">
        <v>199</v>
      </c>
      <c r="R10" t="s">
        <v>203</v>
      </c>
    </row>
    <row r="11" spans="1:18" x14ac:dyDescent="0.3">
      <c r="H11" s="4" t="s">
        <v>200</v>
      </c>
      <c r="I11">
        <v>0.625</v>
      </c>
      <c r="K11">
        <v>0</v>
      </c>
      <c r="L11" s="6">
        <f t="shared" ref="L11:L74" si="0">$I$6*($I$7^K11)</f>
        <v>1000</v>
      </c>
      <c r="N11" s="13">
        <f t="shared" ref="N11:N74" si="1">K11*$I$8*$B$10</f>
        <v>0</v>
      </c>
      <c r="O11" t="e">
        <f t="shared" ref="O11:O74" si="2">L11/N11</f>
        <v>#DIV/0!</v>
      </c>
      <c r="Q11">
        <f t="shared" ref="Q11:Q74" si="3">K11*$I$11*$B$5</f>
        <v>0</v>
      </c>
      <c r="R11">
        <f>K11*$I$12*$B$6*(1+0.015*K11)^'Balance Controls'!$D$35</f>
        <v>0</v>
      </c>
    </row>
    <row r="12" spans="1:18" x14ac:dyDescent="0.3">
      <c r="H12" s="4" t="s">
        <v>163</v>
      </c>
      <c r="I12">
        <v>0.25</v>
      </c>
      <c r="K12">
        <v>1</v>
      </c>
      <c r="L12" s="6">
        <f t="shared" si="0"/>
        <v>1180</v>
      </c>
      <c r="N12" s="13">
        <f t="shared" si="1"/>
        <v>25</v>
      </c>
      <c r="O12">
        <f t="shared" si="2"/>
        <v>47.2</v>
      </c>
      <c r="Q12">
        <f t="shared" si="3"/>
        <v>0.625</v>
      </c>
      <c r="R12">
        <f>K12*$I$12*$B$6*(1+0.015*K12)^'Balance Controls'!$D$35</f>
        <v>0.25</v>
      </c>
    </row>
    <row r="13" spans="1:18" x14ac:dyDescent="0.3">
      <c r="D13" t="s">
        <v>156</v>
      </c>
      <c r="H13" s="4"/>
      <c r="K13">
        <v>2</v>
      </c>
      <c r="L13" s="6">
        <f t="shared" si="0"/>
        <v>1392.3999999999999</v>
      </c>
      <c r="N13" s="13">
        <f t="shared" si="1"/>
        <v>50</v>
      </c>
      <c r="O13">
        <f t="shared" si="2"/>
        <v>27.847999999999999</v>
      </c>
      <c r="Q13">
        <f t="shared" si="3"/>
        <v>1.25</v>
      </c>
      <c r="R13">
        <f>K13*$I$12*$B$6*(1+0.015*K13)^'Balance Controls'!$D$35</f>
        <v>0.5</v>
      </c>
    </row>
    <row r="14" spans="1:18" x14ac:dyDescent="0.3">
      <c r="H14" s="4"/>
      <c r="K14">
        <v>3</v>
      </c>
      <c r="L14" s="6">
        <f t="shared" si="0"/>
        <v>1643.0319999999999</v>
      </c>
      <c r="N14" s="13">
        <f t="shared" si="1"/>
        <v>75</v>
      </c>
      <c r="O14">
        <f t="shared" si="2"/>
        <v>21.907093333333332</v>
      </c>
      <c r="Q14">
        <f t="shared" si="3"/>
        <v>1.875</v>
      </c>
      <c r="R14">
        <f>K14*$I$12*$B$6*(1+0.015*K14)^'Balance Controls'!$D$35</f>
        <v>0.75</v>
      </c>
    </row>
    <row r="15" spans="1:18" x14ac:dyDescent="0.3">
      <c r="D15">
        <v>-1000</v>
      </c>
      <c r="H15" s="4"/>
      <c r="K15">
        <v>4</v>
      </c>
      <c r="L15" s="6">
        <f t="shared" si="0"/>
        <v>1938.7777599999995</v>
      </c>
      <c r="N15" s="13">
        <f t="shared" si="1"/>
        <v>100</v>
      </c>
      <c r="O15">
        <f t="shared" si="2"/>
        <v>19.387777599999996</v>
      </c>
      <c r="Q15">
        <f t="shared" si="3"/>
        <v>2.5</v>
      </c>
      <c r="R15">
        <f>K15*$I$12*$B$6*(1+0.015*K15)^'Balance Controls'!$D$35</f>
        <v>1</v>
      </c>
    </row>
    <row r="16" spans="1:18" x14ac:dyDescent="0.3">
      <c r="D16">
        <v>0.625</v>
      </c>
      <c r="H16" s="4"/>
      <c r="K16">
        <v>5</v>
      </c>
      <c r="L16" s="6">
        <f t="shared" si="0"/>
        <v>2287.7577567999992</v>
      </c>
      <c r="N16" s="13">
        <f t="shared" si="1"/>
        <v>125</v>
      </c>
      <c r="O16">
        <f t="shared" si="2"/>
        <v>18.302062054399993</v>
      </c>
      <c r="Q16">
        <f t="shared" si="3"/>
        <v>3.125</v>
      </c>
      <c r="R16">
        <f>K16*$I$12*$B$6*(1+0.015*K16)^'Balance Controls'!$D$35</f>
        <v>1.25</v>
      </c>
    </row>
    <row r="17" spans="4:18" x14ac:dyDescent="0.3">
      <c r="D17">
        <v>0.25</v>
      </c>
      <c r="H17" s="4"/>
      <c r="K17">
        <v>6</v>
      </c>
      <c r="L17" s="6">
        <f t="shared" si="0"/>
        <v>2699.5541530239993</v>
      </c>
      <c r="N17" s="13">
        <f t="shared" si="1"/>
        <v>150</v>
      </c>
      <c r="O17">
        <f t="shared" si="2"/>
        <v>17.997027686826662</v>
      </c>
      <c r="Q17">
        <f t="shared" si="3"/>
        <v>3.75</v>
      </c>
      <c r="R17">
        <f>K17*$I$12*$B$6*(1+0.015*K17)^'Balance Controls'!$D$35</f>
        <v>1.5</v>
      </c>
    </row>
    <row r="18" spans="4:18" x14ac:dyDescent="0.3">
      <c r="H18" s="4"/>
      <c r="K18">
        <v>7</v>
      </c>
      <c r="L18" s="6">
        <f t="shared" si="0"/>
        <v>3185.4739005683191</v>
      </c>
      <c r="N18" s="13">
        <f t="shared" si="1"/>
        <v>175</v>
      </c>
      <c r="O18">
        <f t="shared" si="2"/>
        <v>18.202708003247537</v>
      </c>
      <c r="Q18">
        <f t="shared" si="3"/>
        <v>4.375</v>
      </c>
      <c r="R18">
        <f>K18*$I$12*$B$6*(1+0.015*K18)^'Balance Controls'!$D$35</f>
        <v>1.75</v>
      </c>
    </row>
    <row r="19" spans="4:18" x14ac:dyDescent="0.3">
      <c r="H19" s="4"/>
      <c r="K19">
        <v>8</v>
      </c>
      <c r="L19" s="6">
        <f t="shared" si="0"/>
        <v>3758.859202670616</v>
      </c>
      <c r="N19" s="13">
        <f t="shared" si="1"/>
        <v>200</v>
      </c>
      <c r="O19">
        <f t="shared" si="2"/>
        <v>18.79429601335308</v>
      </c>
      <c r="Q19">
        <f t="shared" si="3"/>
        <v>5</v>
      </c>
      <c r="R19">
        <f>K19*$I$12*$B$6*(1+0.015*K19)^'Balance Controls'!$D$35</f>
        <v>2</v>
      </c>
    </row>
    <row r="20" spans="4:18" x14ac:dyDescent="0.3">
      <c r="H20" s="4"/>
      <c r="K20">
        <v>9</v>
      </c>
      <c r="L20" s="6">
        <f t="shared" si="0"/>
        <v>4435.4538591513265</v>
      </c>
      <c r="N20" s="13">
        <f t="shared" si="1"/>
        <v>225</v>
      </c>
      <c r="O20">
        <f t="shared" si="2"/>
        <v>19.713128262894784</v>
      </c>
      <c r="Q20">
        <f t="shared" si="3"/>
        <v>5.625</v>
      </c>
      <c r="R20">
        <f>K20*$I$12*$B$6*(1+0.015*K20)^'Balance Controls'!$D$35</f>
        <v>2.25</v>
      </c>
    </row>
    <row r="21" spans="4:18" x14ac:dyDescent="0.3">
      <c r="H21" s="4"/>
      <c r="K21">
        <v>10</v>
      </c>
      <c r="L21" s="6">
        <f t="shared" si="0"/>
        <v>5233.8355537985653</v>
      </c>
      <c r="N21" s="13">
        <f t="shared" si="1"/>
        <v>250</v>
      </c>
      <c r="O21">
        <f t="shared" si="2"/>
        <v>20.935342215194261</v>
      </c>
      <c r="Q21">
        <f t="shared" si="3"/>
        <v>6.25</v>
      </c>
      <c r="R21">
        <f>K21*$I$12*$B$6*(1+0.015*K21)^'Balance Controls'!$D$35</f>
        <v>2.5</v>
      </c>
    </row>
    <row r="22" spans="4:18" x14ac:dyDescent="0.3">
      <c r="H22" s="4"/>
      <c r="K22">
        <v>11</v>
      </c>
      <c r="L22" s="6">
        <f t="shared" si="0"/>
        <v>6175.9259534823068</v>
      </c>
      <c r="N22" s="13">
        <f t="shared" si="1"/>
        <v>275</v>
      </c>
      <c r="O22">
        <f t="shared" si="2"/>
        <v>22.457912558117478</v>
      </c>
      <c r="Q22">
        <f t="shared" si="3"/>
        <v>6.875</v>
      </c>
      <c r="R22">
        <f>K22*$I$12*$B$6*(1+0.015*K22)^'Balance Controls'!$D$35</f>
        <v>2.75</v>
      </c>
    </row>
    <row r="23" spans="4:18" x14ac:dyDescent="0.3">
      <c r="D23" s="2"/>
      <c r="H23" s="4"/>
      <c r="K23">
        <v>12</v>
      </c>
      <c r="L23" s="6">
        <f t="shared" si="0"/>
        <v>7287.5926251091214</v>
      </c>
      <c r="N23" s="13">
        <f t="shared" si="1"/>
        <v>300</v>
      </c>
      <c r="O23">
        <f t="shared" si="2"/>
        <v>24.291975417030404</v>
      </c>
      <c r="Q23">
        <f t="shared" si="3"/>
        <v>7.5</v>
      </c>
      <c r="R23">
        <f>K23*$I$12*$B$6*(1+0.015*K23)^'Balance Controls'!$D$35</f>
        <v>3</v>
      </c>
    </row>
    <row r="24" spans="4:18" x14ac:dyDescent="0.3">
      <c r="D24" s="2"/>
      <c r="H24" s="4"/>
      <c r="K24">
        <v>13</v>
      </c>
      <c r="L24" s="6">
        <f t="shared" si="0"/>
        <v>8599.3592976287619</v>
      </c>
      <c r="N24" s="13">
        <f t="shared" si="1"/>
        <v>325</v>
      </c>
      <c r="O24">
        <f t="shared" si="2"/>
        <v>26.45956706962696</v>
      </c>
      <c r="Q24">
        <f t="shared" si="3"/>
        <v>8.125</v>
      </c>
      <c r="R24">
        <f>K24*$I$12*$B$6*(1+0.015*K24)^'Balance Controls'!$D$35</f>
        <v>3.25</v>
      </c>
    </row>
    <row r="25" spans="4:18" x14ac:dyDescent="0.3">
      <c r="D25" s="2"/>
      <c r="H25" s="4"/>
      <c r="K25">
        <v>14</v>
      </c>
      <c r="L25" s="6">
        <f t="shared" si="0"/>
        <v>10147.24397120194</v>
      </c>
      <c r="N25" s="13">
        <f t="shared" si="1"/>
        <v>350</v>
      </c>
      <c r="O25">
        <f t="shared" si="2"/>
        <v>28.992125632005543</v>
      </c>
      <c r="Q25">
        <f t="shared" si="3"/>
        <v>8.75</v>
      </c>
      <c r="R25">
        <f>K25*$I$12*$B$6*(1+0.015*K25)^'Balance Controls'!$D$35</f>
        <v>3.5</v>
      </c>
    </row>
    <row r="26" spans="4:18" x14ac:dyDescent="0.3">
      <c r="H26" s="4"/>
      <c r="K26">
        <v>15</v>
      </c>
      <c r="L26" s="6">
        <f t="shared" si="0"/>
        <v>11973.747886018289</v>
      </c>
      <c r="N26" s="13">
        <f t="shared" si="1"/>
        <v>375</v>
      </c>
      <c r="O26">
        <f t="shared" si="2"/>
        <v>31.929994362715437</v>
      </c>
      <c r="Q26">
        <f t="shared" si="3"/>
        <v>9.375</v>
      </c>
      <c r="R26">
        <f>K26*$I$12*$B$6*(1+0.015*K26)^'Balance Controls'!$D$35</f>
        <v>3.75</v>
      </c>
    </row>
    <row r="27" spans="4:18" x14ac:dyDescent="0.3">
      <c r="H27" s="4"/>
      <c r="K27">
        <v>16</v>
      </c>
      <c r="L27" s="6">
        <f t="shared" si="0"/>
        <v>14129.02250550158</v>
      </c>
      <c r="N27" s="13">
        <f t="shared" si="1"/>
        <v>400</v>
      </c>
      <c r="O27">
        <f t="shared" si="2"/>
        <v>35.322556263753953</v>
      </c>
      <c r="Q27">
        <f t="shared" si="3"/>
        <v>10</v>
      </c>
      <c r="R27">
        <f>K27*$I$12*$B$6*(1+0.015*K27)^'Balance Controls'!$D$35</f>
        <v>4</v>
      </c>
    </row>
    <row r="28" spans="4:18" x14ac:dyDescent="0.3">
      <c r="H28" s="4"/>
      <c r="K28">
        <v>17</v>
      </c>
      <c r="L28" s="6">
        <f t="shared" si="0"/>
        <v>16672.246556491864</v>
      </c>
      <c r="N28" s="13">
        <f t="shared" si="1"/>
        <v>425</v>
      </c>
      <c r="O28">
        <f t="shared" si="2"/>
        <v>39.228815427039677</v>
      </c>
      <c r="Q28">
        <f t="shared" si="3"/>
        <v>10.625</v>
      </c>
      <c r="R28">
        <f>K28*$I$12*$B$6*(1+0.015*K28)^'Balance Controls'!$D$35</f>
        <v>4.25</v>
      </c>
    </row>
    <row r="29" spans="4:18" x14ac:dyDescent="0.3">
      <c r="H29" s="4"/>
      <c r="K29">
        <v>18</v>
      </c>
      <c r="L29" s="6">
        <f t="shared" si="0"/>
        <v>19673.250936660399</v>
      </c>
      <c r="N29" s="13">
        <f t="shared" si="1"/>
        <v>450</v>
      </c>
      <c r="O29">
        <f t="shared" si="2"/>
        <v>43.71833541480089</v>
      </c>
      <c r="Q29">
        <f t="shared" si="3"/>
        <v>11.25</v>
      </c>
      <c r="R29">
        <f>K29*$I$12*$B$6*(1+0.015*K29)^'Balance Controls'!$D$35</f>
        <v>4.5</v>
      </c>
    </row>
    <row r="30" spans="4:18" x14ac:dyDescent="0.3">
      <c r="H30" s="4"/>
      <c r="K30">
        <v>19</v>
      </c>
      <c r="L30" s="6">
        <f t="shared" si="0"/>
        <v>23214.436105259269</v>
      </c>
      <c r="N30" s="13">
        <f t="shared" si="1"/>
        <v>475</v>
      </c>
      <c r="O30">
        <f t="shared" si="2"/>
        <v>48.872497063703726</v>
      </c>
      <c r="Q30">
        <f t="shared" si="3"/>
        <v>11.875</v>
      </c>
      <c r="R30">
        <f>K30*$I$12*$B$6*(1+0.015*K30)^'Balance Controls'!$D$35</f>
        <v>4.75</v>
      </c>
    </row>
    <row r="31" spans="4:18" x14ac:dyDescent="0.3">
      <c r="H31" s="4"/>
      <c r="K31">
        <v>20</v>
      </c>
      <c r="L31" s="6">
        <f t="shared" si="0"/>
        <v>27393.034604205932</v>
      </c>
      <c r="N31" s="13">
        <f t="shared" si="1"/>
        <v>500</v>
      </c>
      <c r="O31">
        <f t="shared" si="2"/>
        <v>54.786069208411867</v>
      </c>
      <c r="Q31">
        <f t="shared" si="3"/>
        <v>12.5</v>
      </c>
      <c r="R31">
        <f>K31*$I$12*$B$6*(1+0.015*K31)^'Balance Controls'!$D$35</f>
        <v>5</v>
      </c>
    </row>
    <row r="32" spans="4:18" x14ac:dyDescent="0.3">
      <c r="H32" s="4"/>
      <c r="K32">
        <v>21</v>
      </c>
      <c r="L32" s="6">
        <f t="shared" si="0"/>
        <v>32323.780832962995</v>
      </c>
      <c r="N32" s="13">
        <f t="shared" si="1"/>
        <v>525</v>
      </c>
      <c r="O32">
        <f t="shared" si="2"/>
        <v>61.569106348500945</v>
      </c>
      <c r="Q32">
        <f t="shared" si="3"/>
        <v>13.125</v>
      </c>
      <c r="R32">
        <f>K32*$I$12*$B$6*(1+0.015*K32)^'Balance Controls'!$D$35</f>
        <v>5.25</v>
      </c>
    </row>
    <row r="33" spans="4:18" x14ac:dyDescent="0.3">
      <c r="D33" s="4" t="s">
        <v>160</v>
      </c>
      <c r="H33" s="4"/>
      <c r="K33">
        <v>22</v>
      </c>
      <c r="L33" s="6">
        <f t="shared" si="0"/>
        <v>38142.06138289634</v>
      </c>
      <c r="N33" s="13">
        <f t="shared" si="1"/>
        <v>550</v>
      </c>
      <c r="O33">
        <f t="shared" si="2"/>
        <v>69.349202514356975</v>
      </c>
      <c r="Q33">
        <f t="shared" si="3"/>
        <v>13.75</v>
      </c>
      <c r="R33">
        <f>K33*$I$12*$B$6*(1+0.015*K33)^'Balance Controls'!$D$35</f>
        <v>5.5</v>
      </c>
    </row>
    <row r="34" spans="4:18" x14ac:dyDescent="0.3">
      <c r="H34" s="4"/>
      <c r="K34">
        <v>23</v>
      </c>
      <c r="L34" s="6">
        <f t="shared" si="0"/>
        <v>45007.632431817678</v>
      </c>
      <c r="N34" s="13">
        <f t="shared" si="1"/>
        <v>575</v>
      </c>
      <c r="O34">
        <f t="shared" si="2"/>
        <v>78.274143359682924</v>
      </c>
      <c r="Q34">
        <f t="shared" si="3"/>
        <v>14.375</v>
      </c>
      <c r="R34">
        <f>K34*$I$12*$B$6*(1+0.015*K34)^'Balance Controls'!$D$35</f>
        <v>5.75</v>
      </c>
    </row>
    <row r="35" spans="4:18" x14ac:dyDescent="0.3">
      <c r="D35">
        <v>5000</v>
      </c>
      <c r="K35">
        <v>24</v>
      </c>
      <c r="L35" s="6">
        <f t="shared" si="0"/>
        <v>53109.006269544858</v>
      </c>
      <c r="N35" s="13">
        <f t="shared" si="1"/>
        <v>600</v>
      </c>
      <c r="O35">
        <f t="shared" si="2"/>
        <v>88.51501044924143</v>
      </c>
      <c r="Q35">
        <f t="shared" si="3"/>
        <v>15</v>
      </c>
      <c r="R35">
        <f>K35*$I$12*$B$6*(1+0.015*K35)^'Balance Controls'!$D$35</f>
        <v>6</v>
      </c>
    </row>
    <row r="36" spans="4:18" x14ac:dyDescent="0.3">
      <c r="D36">
        <v>5000</v>
      </c>
      <c r="K36">
        <v>25</v>
      </c>
      <c r="L36" s="6">
        <f t="shared" si="0"/>
        <v>62668.627398062934</v>
      </c>
      <c r="N36" s="13">
        <f t="shared" si="1"/>
        <v>625</v>
      </c>
      <c r="O36">
        <f t="shared" si="2"/>
        <v>100.26980383690069</v>
      </c>
      <c r="Q36">
        <f t="shared" si="3"/>
        <v>15.625</v>
      </c>
      <c r="R36">
        <f>K36*$I$12*$B$6*(1+0.015*K36)^'Balance Controls'!$D$35</f>
        <v>6.25</v>
      </c>
    </row>
    <row r="37" spans="4:18" x14ac:dyDescent="0.3">
      <c r="D37">
        <v>1.22</v>
      </c>
      <c r="K37">
        <v>26</v>
      </c>
      <c r="L37" s="6">
        <f t="shared" si="0"/>
        <v>73948.98032971425</v>
      </c>
      <c r="N37" s="13">
        <f t="shared" si="1"/>
        <v>650</v>
      </c>
      <c r="O37">
        <f t="shared" si="2"/>
        <v>113.76766204571423</v>
      </c>
      <c r="Q37">
        <f t="shared" si="3"/>
        <v>16.25</v>
      </c>
      <c r="R37">
        <f>K37*$I$12*$B$6*(1+0.015*K37)^'Balance Controls'!$D$35</f>
        <v>6.5</v>
      </c>
    </row>
    <row r="38" spans="4:18" x14ac:dyDescent="0.3">
      <c r="K38">
        <v>27</v>
      </c>
      <c r="L38" s="6">
        <f t="shared" si="0"/>
        <v>87259.796789062821</v>
      </c>
      <c r="N38" s="13">
        <f t="shared" si="1"/>
        <v>675</v>
      </c>
      <c r="O38">
        <f t="shared" si="2"/>
        <v>129.2737730208338</v>
      </c>
      <c r="Q38">
        <f t="shared" si="3"/>
        <v>16.875</v>
      </c>
      <c r="R38">
        <f>K38*$I$12*$B$6*(1+0.015*K38)^'Balance Controls'!$D$35</f>
        <v>6.75</v>
      </c>
    </row>
    <row r="39" spans="4:18" x14ac:dyDescent="0.3">
      <c r="K39">
        <v>28</v>
      </c>
      <c r="L39" s="6">
        <f t="shared" si="0"/>
        <v>102966.56021109411</v>
      </c>
      <c r="N39" s="13">
        <f t="shared" si="1"/>
        <v>700</v>
      </c>
      <c r="O39">
        <f t="shared" si="2"/>
        <v>147.09508601584872</v>
      </c>
      <c r="Q39">
        <f t="shared" si="3"/>
        <v>17.5</v>
      </c>
      <c r="R39">
        <f>K39*$I$12*$B$6*(1+0.015*K39)^'Balance Controls'!$D$35</f>
        <v>7</v>
      </c>
    </row>
    <row r="40" spans="4:18" x14ac:dyDescent="0.3">
      <c r="D40" t="s">
        <v>172</v>
      </c>
      <c r="K40">
        <v>29</v>
      </c>
      <c r="L40" s="6">
        <f t="shared" si="0"/>
        <v>121500.54104909104</v>
      </c>
      <c r="N40" s="13">
        <f t="shared" si="1"/>
        <v>725</v>
      </c>
      <c r="O40">
        <f t="shared" si="2"/>
        <v>167.58695317116005</v>
      </c>
      <c r="Q40">
        <f t="shared" si="3"/>
        <v>18.125</v>
      </c>
      <c r="R40">
        <f>K40*$I$12*$B$6*(1+0.015*K40)^'Balance Controls'!$D$35</f>
        <v>7.25</v>
      </c>
    </row>
    <row r="41" spans="4:18" x14ac:dyDescent="0.3">
      <c r="D41" t="s">
        <v>175</v>
      </c>
      <c r="K41">
        <v>30</v>
      </c>
      <c r="L41" s="6">
        <f t="shared" si="0"/>
        <v>143370.63843792744</v>
      </c>
      <c r="N41" s="13">
        <f t="shared" si="1"/>
        <v>750</v>
      </c>
      <c r="O41">
        <f t="shared" si="2"/>
        <v>191.16085125056992</v>
      </c>
      <c r="Q41">
        <f t="shared" si="3"/>
        <v>18.75</v>
      </c>
      <c r="R41">
        <f>K41*$I$12*$B$6*(1+0.015*K41)^'Balance Controls'!$D$35</f>
        <v>7.5</v>
      </c>
    </row>
    <row r="42" spans="4:18" x14ac:dyDescent="0.3">
      <c r="D42" t="s">
        <v>179</v>
      </c>
      <c r="K42">
        <v>31</v>
      </c>
      <c r="L42" s="6">
        <f t="shared" si="0"/>
        <v>169177.35335675438</v>
      </c>
      <c r="N42" s="13">
        <f t="shared" si="1"/>
        <v>775</v>
      </c>
      <c r="O42">
        <f t="shared" si="2"/>
        <v>218.29335917000566</v>
      </c>
      <c r="Q42">
        <f t="shared" si="3"/>
        <v>19.375</v>
      </c>
      <c r="R42">
        <f>K42*$I$12*$B$6*(1+0.015*K42)^'Balance Controls'!$D$35</f>
        <v>7.75</v>
      </c>
    </row>
    <row r="43" spans="4:18" x14ac:dyDescent="0.3">
      <c r="K43">
        <v>32</v>
      </c>
      <c r="L43" s="6">
        <f t="shared" si="0"/>
        <v>199629.27696097011</v>
      </c>
      <c r="N43" s="13">
        <f t="shared" si="1"/>
        <v>800</v>
      </c>
      <c r="O43">
        <f t="shared" si="2"/>
        <v>249.53659620121263</v>
      </c>
      <c r="Q43">
        <f t="shared" si="3"/>
        <v>20</v>
      </c>
      <c r="R43">
        <f>K43*$I$12*$B$6*(1+0.015*K43)^'Balance Controls'!$D$35</f>
        <v>8</v>
      </c>
    </row>
    <row r="44" spans="4:18" x14ac:dyDescent="0.3">
      <c r="K44">
        <v>33</v>
      </c>
      <c r="L44" s="6">
        <f t="shared" si="0"/>
        <v>235562.54681394473</v>
      </c>
      <c r="N44" s="13">
        <f t="shared" si="1"/>
        <v>825</v>
      </c>
      <c r="O44">
        <f t="shared" si="2"/>
        <v>285.53035977447848</v>
      </c>
      <c r="Q44">
        <f t="shared" si="3"/>
        <v>20.625</v>
      </c>
      <c r="R44">
        <f>K44*$I$12*$B$6*(1+0.015*K44)^'Balance Controls'!$D$35</f>
        <v>8.25</v>
      </c>
    </row>
    <row r="45" spans="4:18" x14ac:dyDescent="0.3">
      <c r="K45">
        <v>34</v>
      </c>
      <c r="L45" s="6">
        <f t="shared" si="0"/>
        <v>277963.80524045473</v>
      </c>
      <c r="N45" s="13">
        <f t="shared" si="1"/>
        <v>850</v>
      </c>
      <c r="O45">
        <f t="shared" si="2"/>
        <v>327.01624145935853</v>
      </c>
      <c r="Q45">
        <f t="shared" si="3"/>
        <v>21.25</v>
      </c>
      <c r="R45">
        <f>K45*$I$12*$B$6*(1+0.015*K45)^'Balance Controls'!$D$35</f>
        <v>8.5</v>
      </c>
    </row>
    <row r="46" spans="4:18" x14ac:dyDescent="0.3">
      <c r="K46">
        <v>35</v>
      </c>
      <c r="L46" s="6">
        <f t="shared" si="0"/>
        <v>327997.29018373659</v>
      </c>
      <c r="N46" s="13">
        <f t="shared" si="1"/>
        <v>875</v>
      </c>
      <c r="O46">
        <f t="shared" si="2"/>
        <v>374.85404592427039</v>
      </c>
      <c r="Q46">
        <f t="shared" si="3"/>
        <v>21.875</v>
      </c>
      <c r="R46">
        <f>K46*$I$12*$B$6*(1+0.015*K46)^'Balance Controls'!$D$35</f>
        <v>8.75</v>
      </c>
    </row>
    <row r="47" spans="4:18" x14ac:dyDescent="0.3">
      <c r="K47">
        <v>36</v>
      </c>
      <c r="L47" s="6">
        <f t="shared" si="0"/>
        <v>387036.80241680919</v>
      </c>
      <c r="N47" s="13">
        <f t="shared" si="1"/>
        <v>900</v>
      </c>
      <c r="O47">
        <f t="shared" si="2"/>
        <v>430.04089157423243</v>
      </c>
      <c r="Q47">
        <f t="shared" si="3"/>
        <v>22.5</v>
      </c>
      <c r="R47">
        <f>K47*$I$12*$B$6*(1+0.015*K47)^'Balance Controls'!$D$35</f>
        <v>9</v>
      </c>
    </row>
    <row r="48" spans="4:18" x14ac:dyDescent="0.3">
      <c r="K48">
        <v>37</v>
      </c>
      <c r="L48" s="6">
        <f t="shared" si="0"/>
        <v>456703.42685183475</v>
      </c>
      <c r="N48" s="13">
        <f t="shared" si="1"/>
        <v>925</v>
      </c>
      <c r="O48">
        <f t="shared" si="2"/>
        <v>493.73343443441593</v>
      </c>
      <c r="Q48">
        <f t="shared" si="3"/>
        <v>23.125</v>
      </c>
      <c r="R48">
        <f>K48*$I$12*$B$6*(1+0.015*K48)^'Balance Controls'!$D$35</f>
        <v>9.25</v>
      </c>
    </row>
    <row r="49" spans="11:18" x14ac:dyDescent="0.3">
      <c r="K49">
        <v>38</v>
      </c>
      <c r="L49" s="6">
        <f t="shared" si="0"/>
        <v>538910.04368516512</v>
      </c>
      <c r="N49" s="13">
        <f t="shared" si="1"/>
        <v>950</v>
      </c>
      <c r="O49">
        <f t="shared" si="2"/>
        <v>567.27373019491063</v>
      </c>
      <c r="Q49">
        <f t="shared" si="3"/>
        <v>23.75</v>
      </c>
      <c r="R49">
        <f>K49*$I$12*$B$6*(1+0.015*K49)^'Balance Controls'!$D$35</f>
        <v>9.5</v>
      </c>
    </row>
    <row r="50" spans="11:18" x14ac:dyDescent="0.3">
      <c r="K50">
        <v>39</v>
      </c>
      <c r="L50" s="6">
        <f t="shared" si="0"/>
        <v>635913.85154849477</v>
      </c>
      <c r="N50" s="13">
        <f t="shared" si="1"/>
        <v>975</v>
      </c>
      <c r="O50">
        <f t="shared" si="2"/>
        <v>652.21933492153312</v>
      </c>
      <c r="Q50">
        <f t="shared" si="3"/>
        <v>24.375</v>
      </c>
      <c r="R50">
        <f>K50*$I$12*$B$6*(1+0.015*K50)^'Balance Controls'!$D$35</f>
        <v>9.75</v>
      </c>
    </row>
    <row r="51" spans="11:18" x14ac:dyDescent="0.3">
      <c r="K51">
        <v>40</v>
      </c>
      <c r="L51" s="6">
        <f t="shared" si="0"/>
        <v>750378.34482722369</v>
      </c>
      <c r="N51" s="13">
        <f t="shared" si="1"/>
        <v>1000</v>
      </c>
      <c r="O51">
        <f t="shared" si="2"/>
        <v>750.37834482722371</v>
      </c>
      <c r="Q51">
        <f t="shared" si="3"/>
        <v>25</v>
      </c>
      <c r="R51">
        <f>K51*$I$12*$B$6*(1+0.015*K51)^'Balance Controls'!$D$35</f>
        <v>10</v>
      </c>
    </row>
    <row r="52" spans="11:18" x14ac:dyDescent="0.3">
      <c r="K52">
        <v>41</v>
      </c>
      <c r="L52" s="6">
        <f t="shared" si="0"/>
        <v>885446.44689612393</v>
      </c>
      <c r="N52" s="13">
        <f t="shared" si="1"/>
        <v>1025</v>
      </c>
      <c r="O52">
        <f t="shared" si="2"/>
        <v>863.85019209377947</v>
      </c>
      <c r="Q52">
        <f t="shared" si="3"/>
        <v>25.625</v>
      </c>
      <c r="R52">
        <f>K52*$I$12*$B$6*(1+0.015*K52)^'Balance Controls'!$D$35</f>
        <v>10.25</v>
      </c>
    </row>
    <row r="53" spans="11:18" x14ac:dyDescent="0.3">
      <c r="K53">
        <v>42</v>
      </c>
      <c r="L53" s="6">
        <f t="shared" si="0"/>
        <v>1044826.8073374261</v>
      </c>
      <c r="N53" s="13">
        <f t="shared" si="1"/>
        <v>1050</v>
      </c>
      <c r="O53">
        <f t="shared" si="2"/>
        <v>995.07314984516768</v>
      </c>
      <c r="Q53">
        <f t="shared" si="3"/>
        <v>26.25</v>
      </c>
      <c r="R53">
        <f>K53*$I$12*$B$6*(1+0.015*K53)^'Balance Controls'!$D$35</f>
        <v>10.5</v>
      </c>
    </row>
    <row r="54" spans="11:18" x14ac:dyDescent="0.3">
      <c r="K54">
        <v>43</v>
      </c>
      <c r="L54" s="6">
        <f t="shared" si="0"/>
        <v>1232895.6326581629</v>
      </c>
      <c r="N54" s="13">
        <f t="shared" si="1"/>
        <v>1075</v>
      </c>
      <c r="O54">
        <f t="shared" si="2"/>
        <v>1146.879658286663</v>
      </c>
      <c r="Q54">
        <f t="shared" si="3"/>
        <v>26.875</v>
      </c>
      <c r="R54">
        <f>K54*$I$12*$B$6*(1+0.015*K54)^'Balance Controls'!$D$35</f>
        <v>10.75</v>
      </c>
    </row>
    <row r="55" spans="11:18" x14ac:dyDescent="0.3">
      <c r="K55">
        <v>44</v>
      </c>
      <c r="L55" s="6">
        <f t="shared" si="0"/>
        <v>1454816.8465366322</v>
      </c>
      <c r="N55" s="13">
        <f t="shared" si="1"/>
        <v>1100</v>
      </c>
      <c r="O55">
        <f t="shared" si="2"/>
        <v>1322.5607695787564</v>
      </c>
      <c r="Q55">
        <f t="shared" si="3"/>
        <v>27.5</v>
      </c>
      <c r="R55">
        <f>K55*$I$12*$B$6*(1+0.015*K55)^'Balance Controls'!$D$35</f>
        <v>11</v>
      </c>
    </row>
    <row r="56" spans="11:18" x14ac:dyDescent="0.3">
      <c r="K56">
        <v>45</v>
      </c>
      <c r="L56" s="6">
        <f t="shared" si="0"/>
        <v>1716683.8789132258</v>
      </c>
      <c r="N56" s="13">
        <f t="shared" si="1"/>
        <v>1125</v>
      </c>
      <c r="O56">
        <f t="shared" si="2"/>
        <v>1525.9412257006452</v>
      </c>
      <c r="Q56">
        <f t="shared" si="3"/>
        <v>28.125</v>
      </c>
      <c r="R56">
        <f>K56*$I$12*$B$6*(1+0.015*K56)^'Balance Controls'!$D$35</f>
        <v>11.25</v>
      </c>
    </row>
    <row r="57" spans="11:18" x14ac:dyDescent="0.3">
      <c r="K57">
        <v>46</v>
      </c>
      <c r="L57" s="6">
        <f t="shared" si="0"/>
        <v>2025686.9771176064</v>
      </c>
      <c r="N57" s="13">
        <f t="shared" si="1"/>
        <v>1150</v>
      </c>
      <c r="O57">
        <f t="shared" si="2"/>
        <v>1761.4669366240057</v>
      </c>
      <c r="Q57">
        <f t="shared" si="3"/>
        <v>28.75</v>
      </c>
      <c r="R57">
        <f>K57*$I$12*$B$6*(1+0.015*K57)^'Balance Controls'!$D$35</f>
        <v>11.5</v>
      </c>
    </row>
    <row r="58" spans="11:18" x14ac:dyDescent="0.3">
      <c r="K58">
        <v>47</v>
      </c>
      <c r="L58" s="6">
        <f t="shared" si="0"/>
        <v>2390310.6329987752</v>
      </c>
      <c r="N58" s="13">
        <f t="shared" si="1"/>
        <v>1175</v>
      </c>
      <c r="O58">
        <f t="shared" si="2"/>
        <v>2034.3069217010852</v>
      </c>
      <c r="Q58">
        <f t="shared" si="3"/>
        <v>29.375</v>
      </c>
      <c r="R58">
        <f>K58*$I$12*$B$6*(1+0.015*K58)^'Balance Controls'!$D$35</f>
        <v>11.75</v>
      </c>
    </row>
    <row r="59" spans="11:18" x14ac:dyDescent="0.3">
      <c r="K59">
        <v>48</v>
      </c>
      <c r="L59" s="6">
        <f t="shared" si="0"/>
        <v>2820566.5469385548</v>
      </c>
      <c r="N59" s="13">
        <f t="shared" si="1"/>
        <v>1200</v>
      </c>
      <c r="O59">
        <f t="shared" si="2"/>
        <v>2350.4721224487957</v>
      </c>
      <c r="Q59">
        <f t="shared" si="3"/>
        <v>30</v>
      </c>
      <c r="R59">
        <f>K59*$I$12*$B$6*(1+0.015*K59)^'Balance Controls'!$D$35</f>
        <v>12</v>
      </c>
    </row>
    <row r="60" spans="11:18" x14ac:dyDescent="0.3">
      <c r="K60">
        <v>49</v>
      </c>
      <c r="L60" s="6">
        <f t="shared" si="0"/>
        <v>3328268.5253874948</v>
      </c>
      <c r="N60" s="13">
        <f t="shared" si="1"/>
        <v>1225</v>
      </c>
      <c r="O60">
        <f t="shared" si="2"/>
        <v>2716.9538982755062</v>
      </c>
      <c r="Q60">
        <f t="shared" si="3"/>
        <v>30.625</v>
      </c>
      <c r="R60">
        <f>K60*$I$12*$B$6*(1+0.015*K60)^'Balance Controls'!$D$35</f>
        <v>12.25</v>
      </c>
    </row>
    <row r="61" spans="11:18" x14ac:dyDescent="0.3">
      <c r="K61">
        <v>50</v>
      </c>
      <c r="L61" s="6">
        <f t="shared" si="0"/>
        <v>3927356.8599572438</v>
      </c>
      <c r="N61" s="13">
        <f t="shared" si="1"/>
        <v>1250</v>
      </c>
      <c r="O61">
        <f t="shared" si="2"/>
        <v>3141.8854879657952</v>
      </c>
      <c r="Q61">
        <f t="shared" si="3"/>
        <v>31.25</v>
      </c>
      <c r="R61">
        <f>K61*$I$12*$B$6*(1+0.015*K61)^'Balance Controls'!$D$35</f>
        <v>12.5</v>
      </c>
    </row>
    <row r="62" spans="11:18" x14ac:dyDescent="0.3">
      <c r="K62">
        <v>51</v>
      </c>
      <c r="L62" s="6">
        <f t="shared" si="0"/>
        <v>4634281.0947495466</v>
      </c>
      <c r="N62" s="13">
        <f t="shared" si="1"/>
        <v>1275</v>
      </c>
      <c r="O62">
        <f t="shared" si="2"/>
        <v>3634.7302703918012</v>
      </c>
      <c r="Q62">
        <f t="shared" si="3"/>
        <v>31.875</v>
      </c>
      <c r="R62">
        <f>K62*$I$12*$B$6*(1+0.015*K62)^'Balance Controls'!$D$35</f>
        <v>12.75</v>
      </c>
    </row>
    <row r="63" spans="11:18" x14ac:dyDescent="0.3">
      <c r="K63">
        <v>52</v>
      </c>
      <c r="L63" s="6">
        <f t="shared" si="0"/>
        <v>5468451.6918044649</v>
      </c>
      <c r="N63" s="13">
        <f t="shared" si="1"/>
        <v>1300</v>
      </c>
      <c r="O63">
        <f t="shared" si="2"/>
        <v>4206.5013013880498</v>
      </c>
      <c r="Q63">
        <f t="shared" si="3"/>
        <v>32.5</v>
      </c>
      <c r="R63">
        <f>K63*$I$12*$B$6*(1+0.015*K63)^'Balance Controls'!$D$35</f>
        <v>13</v>
      </c>
    </row>
    <row r="64" spans="11:18" x14ac:dyDescent="0.3">
      <c r="K64">
        <v>53</v>
      </c>
      <c r="L64" s="6">
        <f t="shared" si="0"/>
        <v>6452772.9963292666</v>
      </c>
      <c r="N64" s="13">
        <f t="shared" si="1"/>
        <v>1325</v>
      </c>
      <c r="O64">
        <f t="shared" si="2"/>
        <v>4870.0173557202015</v>
      </c>
      <c r="Q64">
        <f t="shared" si="3"/>
        <v>33.125</v>
      </c>
      <c r="R64">
        <f>K64*$I$12*$B$6*(1+0.015*K64)^'Balance Controls'!$D$35</f>
        <v>13.25</v>
      </c>
    </row>
    <row r="65" spans="11:18" x14ac:dyDescent="0.3">
      <c r="K65">
        <v>54</v>
      </c>
      <c r="L65" s="6">
        <f t="shared" si="0"/>
        <v>7614272.1356685357</v>
      </c>
      <c r="N65" s="13">
        <f t="shared" si="1"/>
        <v>1350</v>
      </c>
      <c r="O65">
        <f t="shared" si="2"/>
        <v>5640.201581976693</v>
      </c>
      <c r="Q65">
        <f t="shared" si="3"/>
        <v>33.75</v>
      </c>
      <c r="R65">
        <f>K65*$I$12*$B$6*(1+0.015*K65)^'Balance Controls'!$D$35</f>
        <v>13.5</v>
      </c>
    </row>
    <row r="66" spans="11:18" x14ac:dyDescent="0.3">
      <c r="K66">
        <v>55</v>
      </c>
      <c r="L66" s="6">
        <f t="shared" si="0"/>
        <v>8984841.1200888716</v>
      </c>
      <c r="N66" s="13">
        <f t="shared" si="1"/>
        <v>1375</v>
      </c>
      <c r="O66">
        <f t="shared" si="2"/>
        <v>6534.4299055191796</v>
      </c>
      <c r="Q66">
        <f t="shared" si="3"/>
        <v>34.375</v>
      </c>
      <c r="R66">
        <f>K66*$I$12*$B$6*(1+0.015*K66)^'Balance Controls'!$D$35</f>
        <v>13.75</v>
      </c>
    </row>
    <row r="67" spans="11:18" x14ac:dyDescent="0.3">
      <c r="K67">
        <v>56</v>
      </c>
      <c r="L67" s="6">
        <f t="shared" si="0"/>
        <v>10602112.521704867</v>
      </c>
      <c r="N67" s="13">
        <f t="shared" si="1"/>
        <v>1400</v>
      </c>
      <c r="O67">
        <f t="shared" si="2"/>
        <v>7572.9375155034768</v>
      </c>
      <c r="Q67">
        <f t="shared" si="3"/>
        <v>35</v>
      </c>
      <c r="R67">
        <f>K67*$I$12*$B$6*(1+0.015*K67)^'Balance Controls'!$D$35</f>
        <v>14</v>
      </c>
    </row>
    <row r="68" spans="11:18" x14ac:dyDescent="0.3">
      <c r="K68">
        <v>57</v>
      </c>
      <c r="L68" s="6">
        <f t="shared" si="0"/>
        <v>12510492.775611745</v>
      </c>
      <c r="N68" s="13">
        <f t="shared" si="1"/>
        <v>1425</v>
      </c>
      <c r="O68">
        <f t="shared" si="2"/>
        <v>8779.2931758678915</v>
      </c>
      <c r="Q68">
        <f t="shared" si="3"/>
        <v>35.625</v>
      </c>
      <c r="R68">
        <f>K68*$I$12*$B$6*(1+0.015*K68)^'Balance Controls'!$D$35</f>
        <v>14.25</v>
      </c>
    </row>
    <row r="69" spans="11:18" x14ac:dyDescent="0.3">
      <c r="K69">
        <v>58</v>
      </c>
      <c r="L69" s="6">
        <f t="shared" si="0"/>
        <v>14762381.475221857</v>
      </c>
      <c r="N69" s="13">
        <f t="shared" si="1"/>
        <v>1450</v>
      </c>
      <c r="O69">
        <f t="shared" si="2"/>
        <v>10180.952741532315</v>
      </c>
      <c r="Q69">
        <f t="shared" si="3"/>
        <v>36.25</v>
      </c>
      <c r="R69">
        <f>K69*$I$12*$B$6*(1+0.015*K69)^'Balance Controls'!$D$35</f>
        <v>14.5</v>
      </c>
    </row>
    <row r="70" spans="11:18" x14ac:dyDescent="0.3">
      <c r="K70">
        <v>59</v>
      </c>
      <c r="L70" s="6">
        <f t="shared" si="0"/>
        <v>17419610.140761793</v>
      </c>
      <c r="N70" s="13">
        <f t="shared" si="1"/>
        <v>1475</v>
      </c>
      <c r="O70">
        <f t="shared" si="2"/>
        <v>11809.905180177486</v>
      </c>
      <c r="Q70">
        <f t="shared" si="3"/>
        <v>36.875</v>
      </c>
      <c r="R70">
        <f>K70*$I$12*$B$6*(1+0.015*K70)^'Balance Controls'!$D$35</f>
        <v>14.75</v>
      </c>
    </row>
    <row r="71" spans="11:18" x14ac:dyDescent="0.3">
      <c r="K71">
        <v>60</v>
      </c>
      <c r="L71" s="6">
        <f t="shared" si="0"/>
        <v>20555139.966098912</v>
      </c>
      <c r="N71" s="13">
        <f t="shared" si="1"/>
        <v>1500</v>
      </c>
      <c r="O71">
        <f t="shared" si="2"/>
        <v>13703.426644065941</v>
      </c>
      <c r="Q71">
        <f t="shared" si="3"/>
        <v>37.5</v>
      </c>
      <c r="R71">
        <f>K71*$I$12*$B$6*(1+0.015*K71)^'Balance Controls'!$D$35</f>
        <v>15</v>
      </c>
    </row>
    <row r="72" spans="11:18" x14ac:dyDescent="0.3">
      <c r="K72">
        <v>61</v>
      </c>
      <c r="L72" s="6">
        <f t="shared" si="0"/>
        <v>24255065.159996714</v>
      </c>
      <c r="N72" s="13">
        <f t="shared" si="1"/>
        <v>1525</v>
      </c>
      <c r="O72">
        <f t="shared" si="2"/>
        <v>15904.960760653583</v>
      </c>
      <c r="Q72">
        <f t="shared" si="3"/>
        <v>38.125</v>
      </c>
      <c r="R72">
        <f>K72*$I$12*$B$6*(1+0.015*K72)^'Balance Controls'!$D$35</f>
        <v>15.25</v>
      </c>
    </row>
    <row r="73" spans="11:18" x14ac:dyDescent="0.3">
      <c r="K73">
        <v>62</v>
      </c>
      <c r="L73" s="6">
        <f t="shared" si="0"/>
        <v>28620976.888796121</v>
      </c>
      <c r="N73" s="13">
        <f t="shared" si="1"/>
        <v>1550</v>
      </c>
      <c r="O73">
        <f t="shared" si="2"/>
        <v>18465.146379868464</v>
      </c>
      <c r="Q73">
        <f t="shared" si="3"/>
        <v>38.75</v>
      </c>
      <c r="R73">
        <f>K73*$I$12*$B$6*(1+0.015*K73)^'Balance Controls'!$D$35</f>
        <v>15.5</v>
      </c>
    </row>
    <row r="74" spans="11:18" x14ac:dyDescent="0.3">
      <c r="K74">
        <v>63</v>
      </c>
      <c r="L74" s="6">
        <f t="shared" si="0"/>
        <v>33772752.72877942</v>
      </c>
      <c r="N74" s="13">
        <f t="shared" si="1"/>
        <v>1575</v>
      </c>
      <c r="O74">
        <f t="shared" si="2"/>
        <v>21443.017605574234</v>
      </c>
      <c r="Q74">
        <f t="shared" si="3"/>
        <v>39.375</v>
      </c>
      <c r="R74">
        <f>K74*$I$12*$B$6*(1+0.015*K74)^'Balance Controls'!$D$35</f>
        <v>15.75</v>
      </c>
    </row>
    <row r="75" spans="11:18" x14ac:dyDescent="0.3">
      <c r="K75">
        <v>64</v>
      </c>
      <c r="L75" s="6">
        <f t="shared" ref="L75:L138" si="4">$I$6*($I$7^K75)</f>
        <v>39851848.219959714</v>
      </c>
      <c r="N75" s="13">
        <f t="shared" ref="N75:N138" si="5">K75*$I$8*$B$10</f>
        <v>1600</v>
      </c>
      <c r="O75">
        <f t="shared" ref="O75:O138" si="6">L75/N75</f>
        <v>24907.40513747482</v>
      </c>
      <c r="Q75">
        <f t="shared" ref="Q75:Q138" si="7">K75*$I$11*$B$5</f>
        <v>40</v>
      </c>
      <c r="R75">
        <f>K75*$I$12*$B$6*(1+0.015*K75)^'Balance Controls'!$D$35</f>
        <v>16</v>
      </c>
    </row>
    <row r="76" spans="11:18" x14ac:dyDescent="0.3">
      <c r="K76">
        <v>65</v>
      </c>
      <c r="L76" s="6">
        <f t="shared" si="4"/>
        <v>47025180.899552457</v>
      </c>
      <c r="N76" s="13">
        <f t="shared" si="5"/>
        <v>1625</v>
      </c>
      <c r="O76">
        <f t="shared" si="6"/>
        <v>28938.572861263052</v>
      </c>
      <c r="Q76">
        <f t="shared" si="7"/>
        <v>40.625</v>
      </c>
      <c r="R76">
        <f>K76*$I$12*$B$6*(1+0.015*K76)^'Balance Controls'!$D$35</f>
        <v>16.25</v>
      </c>
    </row>
    <row r="77" spans="11:18" x14ac:dyDescent="0.3">
      <c r="K77">
        <v>66</v>
      </c>
      <c r="L77" s="6">
        <f t="shared" si="4"/>
        <v>55489713.461471893</v>
      </c>
      <c r="N77" s="13">
        <f t="shared" si="5"/>
        <v>1650</v>
      </c>
      <c r="O77">
        <f t="shared" si="6"/>
        <v>33630.129370589028</v>
      </c>
      <c r="Q77">
        <f t="shared" si="7"/>
        <v>41.25</v>
      </c>
      <c r="R77">
        <f>K77*$I$12*$B$6*(1+0.015*K77)^'Balance Controls'!$D$35</f>
        <v>16.5</v>
      </c>
    </row>
    <row r="78" spans="11:18" x14ac:dyDescent="0.3">
      <c r="K78">
        <v>67</v>
      </c>
      <c r="L78" s="6">
        <f t="shared" si="4"/>
        <v>65477861.88453684</v>
      </c>
      <c r="N78" s="13">
        <f t="shared" si="5"/>
        <v>1675</v>
      </c>
      <c r="O78">
        <f t="shared" si="6"/>
        <v>39091.260826589161</v>
      </c>
      <c r="Q78">
        <f t="shared" si="7"/>
        <v>41.875</v>
      </c>
      <c r="R78">
        <f>K78*$I$12*$B$6*(1+0.015*K78)^'Balance Controls'!$D$35</f>
        <v>16.75</v>
      </c>
    </row>
    <row r="79" spans="11:18" x14ac:dyDescent="0.3">
      <c r="K79">
        <v>68</v>
      </c>
      <c r="L79" s="6">
        <f t="shared" si="4"/>
        <v>77263877.023753464</v>
      </c>
      <c r="N79" s="13">
        <f t="shared" si="5"/>
        <v>1700</v>
      </c>
      <c r="O79">
        <f t="shared" si="6"/>
        <v>45449.339425737329</v>
      </c>
      <c r="Q79">
        <f t="shared" si="7"/>
        <v>42.5</v>
      </c>
      <c r="R79">
        <f>K79*$I$12*$B$6*(1+0.015*K79)^'Balance Controls'!$D$35</f>
        <v>17</v>
      </c>
    </row>
    <row r="80" spans="11:18" x14ac:dyDescent="0.3">
      <c r="K80">
        <v>69</v>
      </c>
      <c r="L80" s="6">
        <f t="shared" si="4"/>
        <v>91171374.888029069</v>
      </c>
      <c r="N80" s="13">
        <f t="shared" si="5"/>
        <v>1725</v>
      </c>
      <c r="O80">
        <f t="shared" si="6"/>
        <v>52852.970949582072</v>
      </c>
      <c r="Q80">
        <f t="shared" si="7"/>
        <v>43.125</v>
      </c>
      <c r="R80">
        <f>K80*$I$12*$B$6*(1+0.015*K80)^'Balance Controls'!$D$35</f>
        <v>17.25</v>
      </c>
    </row>
    <row r="81" spans="11:18" x14ac:dyDescent="0.3">
      <c r="K81">
        <v>70</v>
      </c>
      <c r="L81" s="6">
        <f t="shared" si="4"/>
        <v>107582222.36787432</v>
      </c>
      <c r="N81" s="13">
        <f t="shared" si="5"/>
        <v>1750</v>
      </c>
      <c r="O81">
        <f t="shared" si="6"/>
        <v>61475.555638785328</v>
      </c>
      <c r="Q81">
        <f t="shared" si="7"/>
        <v>43.75</v>
      </c>
      <c r="R81">
        <f>K81*$I$12*$B$6*(1+0.015*K81)^'Balance Controls'!$D$35</f>
        <v>17.5</v>
      </c>
    </row>
    <row r="82" spans="11:18" x14ac:dyDescent="0.3">
      <c r="K82">
        <v>71</v>
      </c>
      <c r="L82" s="6">
        <f t="shared" si="4"/>
        <v>126947022.3940917</v>
      </c>
      <c r="N82" s="13">
        <f t="shared" si="5"/>
        <v>1775</v>
      </c>
      <c r="O82">
        <f t="shared" si="6"/>
        <v>71519.449236108005</v>
      </c>
      <c r="Q82">
        <f t="shared" si="7"/>
        <v>44.375</v>
      </c>
      <c r="R82">
        <f>K82*$I$12*$B$6*(1+0.015*K82)^'Balance Controls'!$D$35</f>
        <v>17.75</v>
      </c>
    </row>
    <row r="83" spans="11:18" x14ac:dyDescent="0.3">
      <c r="K83">
        <v>72</v>
      </c>
      <c r="L83" s="6">
        <f t="shared" si="4"/>
        <v>149797486.42502818</v>
      </c>
      <c r="N83" s="13">
        <f t="shared" si="5"/>
        <v>1800</v>
      </c>
      <c r="O83">
        <f t="shared" si="6"/>
        <v>83220.82579168232</v>
      </c>
      <c r="Q83">
        <f t="shared" si="7"/>
        <v>45</v>
      </c>
      <c r="R83">
        <f>K83*$I$12*$B$6*(1+0.015*K83)^'Balance Controls'!$D$35</f>
        <v>18</v>
      </c>
    </row>
    <row r="84" spans="11:18" x14ac:dyDescent="0.3">
      <c r="K84">
        <v>73</v>
      </c>
      <c r="L84" s="6">
        <f t="shared" si="4"/>
        <v>176761033.98153326</v>
      </c>
      <c r="N84" s="13">
        <f t="shared" si="5"/>
        <v>1825</v>
      </c>
      <c r="O84">
        <f t="shared" si="6"/>
        <v>96855.361085771656</v>
      </c>
      <c r="Q84">
        <f t="shared" si="7"/>
        <v>45.625</v>
      </c>
      <c r="R84">
        <f>K84*$I$12*$B$6*(1+0.015*K84)^'Balance Controls'!$D$35</f>
        <v>18.25</v>
      </c>
    </row>
    <row r="85" spans="11:18" x14ac:dyDescent="0.3">
      <c r="K85">
        <v>74</v>
      </c>
      <c r="L85" s="6">
        <f t="shared" si="4"/>
        <v>208578020.0982092</v>
      </c>
      <c r="N85" s="13">
        <f t="shared" si="5"/>
        <v>1850</v>
      </c>
      <c r="O85">
        <f t="shared" si="6"/>
        <v>112744.87572876173</v>
      </c>
      <c r="Q85">
        <f t="shared" si="7"/>
        <v>46.25</v>
      </c>
      <c r="R85">
        <f>K85*$I$12*$B$6*(1+0.015*K85)^'Balance Controls'!$D$35</f>
        <v>18.5</v>
      </c>
    </row>
    <row r="86" spans="11:18" x14ac:dyDescent="0.3">
      <c r="K86">
        <v>75</v>
      </c>
      <c r="L86" s="6">
        <f t="shared" si="4"/>
        <v>246122063.71588686</v>
      </c>
      <c r="N86" s="13">
        <f t="shared" si="5"/>
        <v>1875</v>
      </c>
      <c r="O86">
        <f t="shared" si="6"/>
        <v>131265.10064847299</v>
      </c>
      <c r="Q86">
        <f t="shared" si="7"/>
        <v>46.875</v>
      </c>
      <c r="R86">
        <f>K86*$I$12*$B$6*(1+0.015*K86)^'Balance Controls'!$D$35</f>
        <v>18.75</v>
      </c>
    </row>
    <row r="87" spans="11:18" x14ac:dyDescent="0.3">
      <c r="K87">
        <v>76</v>
      </c>
      <c r="L87" s="6">
        <f t="shared" si="4"/>
        <v>290424035.18474644</v>
      </c>
      <c r="N87" s="13">
        <f t="shared" si="5"/>
        <v>1900</v>
      </c>
      <c r="O87">
        <f t="shared" si="6"/>
        <v>152854.75536039285</v>
      </c>
      <c r="Q87">
        <f t="shared" si="7"/>
        <v>47.5</v>
      </c>
      <c r="R87">
        <f>K87*$I$12*$B$6*(1+0.015*K87)^'Balance Controls'!$D$35</f>
        <v>19</v>
      </c>
    </row>
    <row r="88" spans="11:18" x14ac:dyDescent="0.3">
      <c r="K88">
        <v>77</v>
      </c>
      <c r="L88" s="6">
        <f t="shared" si="4"/>
        <v>342700361.51800078</v>
      </c>
      <c r="N88" s="13">
        <f t="shared" si="5"/>
        <v>1925</v>
      </c>
      <c r="O88">
        <f t="shared" si="6"/>
        <v>178026.16182753287</v>
      </c>
      <c r="Q88">
        <f t="shared" si="7"/>
        <v>48.125</v>
      </c>
      <c r="R88">
        <f>K88*$I$12*$B$6*(1+0.015*K88)^'Balance Controls'!$D$35</f>
        <v>19.25</v>
      </c>
    </row>
    <row r="89" spans="11:18" x14ac:dyDescent="0.3">
      <c r="K89">
        <v>78</v>
      </c>
      <c r="L89" s="6">
        <f t="shared" si="4"/>
        <v>404386426.591241</v>
      </c>
      <c r="N89" s="13">
        <f t="shared" si="5"/>
        <v>1950</v>
      </c>
      <c r="O89">
        <f t="shared" si="6"/>
        <v>207377.65466217487</v>
      </c>
      <c r="Q89">
        <f t="shared" si="7"/>
        <v>48.75</v>
      </c>
      <c r="R89">
        <f>K89*$I$12*$B$6*(1+0.015*K89)^'Balance Controls'!$D$35</f>
        <v>19.5</v>
      </c>
    </row>
    <row r="90" spans="11:18" x14ac:dyDescent="0.3">
      <c r="K90">
        <v>79</v>
      </c>
      <c r="L90" s="6">
        <f t="shared" si="4"/>
        <v>477175983.37766433</v>
      </c>
      <c r="N90" s="13">
        <f t="shared" si="5"/>
        <v>1975</v>
      </c>
      <c r="O90">
        <f t="shared" si="6"/>
        <v>241608.0928494503</v>
      </c>
      <c r="Q90">
        <f t="shared" si="7"/>
        <v>49.375</v>
      </c>
      <c r="R90">
        <f>K90*$I$12*$B$6*(1+0.015*K90)^'Balance Controls'!$D$35</f>
        <v>19.75</v>
      </c>
    </row>
    <row r="91" spans="11:18" x14ac:dyDescent="0.3">
      <c r="K91">
        <v>80</v>
      </c>
      <c r="L91" s="6">
        <f t="shared" si="4"/>
        <v>563067660.38564384</v>
      </c>
      <c r="N91" s="13">
        <f t="shared" si="5"/>
        <v>2000</v>
      </c>
      <c r="O91">
        <f t="shared" si="6"/>
        <v>281533.83019282192</v>
      </c>
      <c r="Q91">
        <f t="shared" si="7"/>
        <v>50</v>
      </c>
      <c r="R91">
        <f>K91*$I$12*$B$6*(1+0.015*K91)^'Balance Controls'!$D$35</f>
        <v>20</v>
      </c>
    </row>
    <row r="92" spans="11:18" x14ac:dyDescent="0.3">
      <c r="K92">
        <v>81</v>
      </c>
      <c r="L92" s="6">
        <f t="shared" si="4"/>
        <v>664419839.25505972</v>
      </c>
      <c r="N92" s="13">
        <f t="shared" si="5"/>
        <v>2025</v>
      </c>
      <c r="O92">
        <f t="shared" si="6"/>
        <v>328108.56259509124</v>
      </c>
      <c r="Q92">
        <f t="shared" si="7"/>
        <v>50.625</v>
      </c>
      <c r="R92">
        <f>K92*$I$12*$B$6*(1+0.015*K92)^'Balance Controls'!$D$35</f>
        <v>20.25</v>
      </c>
    </row>
    <row r="93" spans="11:18" x14ac:dyDescent="0.3">
      <c r="K93">
        <v>82</v>
      </c>
      <c r="L93" s="6">
        <f t="shared" si="4"/>
        <v>784015410.32097042</v>
      </c>
      <c r="N93" s="13">
        <f t="shared" si="5"/>
        <v>2050</v>
      </c>
      <c r="O93">
        <f t="shared" si="6"/>
        <v>382446.5416199856</v>
      </c>
      <c r="Q93">
        <f t="shared" si="7"/>
        <v>51.25</v>
      </c>
      <c r="R93">
        <f>K93*$I$12*$B$6*(1+0.015*K93)^'Balance Controls'!$D$35</f>
        <v>20.5</v>
      </c>
    </row>
    <row r="94" spans="11:18" x14ac:dyDescent="0.3">
      <c r="K94">
        <v>83</v>
      </c>
      <c r="L94" s="6">
        <f t="shared" si="4"/>
        <v>925138184.17874503</v>
      </c>
      <c r="N94" s="13">
        <f t="shared" si="5"/>
        <v>2075</v>
      </c>
      <c r="O94">
        <f t="shared" si="6"/>
        <v>445849.72731505783</v>
      </c>
      <c r="Q94">
        <f t="shared" si="7"/>
        <v>51.875</v>
      </c>
      <c r="R94">
        <f>K94*$I$12*$B$6*(1+0.015*K94)^'Balance Controls'!$D$35</f>
        <v>20.75</v>
      </c>
    </row>
    <row r="95" spans="11:18" x14ac:dyDescent="0.3">
      <c r="K95">
        <v>84</v>
      </c>
      <c r="L95" s="6">
        <f t="shared" si="4"/>
        <v>1091663057.330919</v>
      </c>
      <c r="N95" s="13">
        <f t="shared" si="5"/>
        <v>2100</v>
      </c>
      <c r="O95">
        <f t="shared" si="6"/>
        <v>519839.55110996147</v>
      </c>
      <c r="Q95">
        <f t="shared" si="7"/>
        <v>52.5</v>
      </c>
      <c r="R95">
        <f>K95*$I$12*$B$6*(1+0.015*K95)^'Balance Controls'!$D$35</f>
        <v>21</v>
      </c>
    </row>
    <row r="96" spans="11:18" x14ac:dyDescent="0.3">
      <c r="K96">
        <v>85</v>
      </c>
      <c r="L96" s="6">
        <f t="shared" si="4"/>
        <v>1288162407.6504843</v>
      </c>
      <c r="N96" s="13">
        <f t="shared" si="5"/>
        <v>2125</v>
      </c>
      <c r="O96">
        <f t="shared" si="6"/>
        <v>606194.07418846316</v>
      </c>
      <c r="Q96">
        <f t="shared" si="7"/>
        <v>53.125</v>
      </c>
      <c r="R96">
        <f>K96*$I$12*$B$6*(1+0.015*K96)^'Balance Controls'!$D$35</f>
        <v>21.25</v>
      </c>
    </row>
    <row r="97" spans="11:18" x14ac:dyDescent="0.3">
      <c r="K97">
        <v>86</v>
      </c>
      <c r="L97" s="6">
        <f t="shared" si="4"/>
        <v>1520031641.0275714</v>
      </c>
      <c r="N97" s="13">
        <f t="shared" si="5"/>
        <v>2150</v>
      </c>
      <c r="O97">
        <f t="shared" si="6"/>
        <v>706991.4609430565</v>
      </c>
      <c r="Q97">
        <f t="shared" si="7"/>
        <v>53.75</v>
      </c>
      <c r="R97">
        <f>K97*$I$12*$B$6*(1+0.015*K97)^'Balance Controls'!$D$35</f>
        <v>21.5</v>
      </c>
    </row>
    <row r="98" spans="11:18" x14ac:dyDescent="0.3">
      <c r="K98">
        <v>87</v>
      </c>
      <c r="L98" s="6">
        <f t="shared" si="4"/>
        <v>1793637336.4125342</v>
      </c>
      <c r="N98" s="13">
        <f t="shared" si="5"/>
        <v>2175</v>
      </c>
      <c r="O98">
        <f t="shared" si="6"/>
        <v>824660.84432760195</v>
      </c>
      <c r="Q98">
        <f t="shared" si="7"/>
        <v>54.375</v>
      </c>
      <c r="R98">
        <f>K98*$I$12*$B$6*(1+0.015*K98)^'Balance Controls'!$D$35</f>
        <v>21.75</v>
      </c>
    </row>
    <row r="99" spans="11:18" x14ac:dyDescent="0.3">
      <c r="K99">
        <v>88</v>
      </c>
      <c r="L99" s="6">
        <f t="shared" si="4"/>
        <v>2116492056.9667904</v>
      </c>
      <c r="N99" s="13">
        <f t="shared" si="5"/>
        <v>2200</v>
      </c>
      <c r="O99">
        <f t="shared" si="6"/>
        <v>962041.84407581389</v>
      </c>
      <c r="Q99">
        <f t="shared" si="7"/>
        <v>55</v>
      </c>
      <c r="R99">
        <f>K99*$I$12*$B$6*(1+0.015*K99)^'Balance Controls'!$D$35</f>
        <v>22</v>
      </c>
    </row>
    <row r="100" spans="11:18" x14ac:dyDescent="0.3">
      <c r="K100">
        <v>89</v>
      </c>
      <c r="L100" s="6">
        <f t="shared" si="4"/>
        <v>2497460627.2208128</v>
      </c>
      <c r="N100" s="13">
        <f t="shared" si="5"/>
        <v>2225</v>
      </c>
      <c r="O100">
        <f t="shared" si="6"/>
        <v>1122454.2144812641</v>
      </c>
      <c r="Q100">
        <f t="shared" si="7"/>
        <v>55.625</v>
      </c>
      <c r="R100">
        <f>K100*$I$12*$B$6*(1+0.015*K100)^'Balance Controls'!$D$35</f>
        <v>22.25</v>
      </c>
    </row>
    <row r="101" spans="11:18" x14ac:dyDescent="0.3">
      <c r="K101">
        <v>90</v>
      </c>
      <c r="L101" s="6">
        <f t="shared" si="4"/>
        <v>2947003540.1205583</v>
      </c>
      <c r="N101" s="13">
        <f t="shared" si="5"/>
        <v>2250</v>
      </c>
      <c r="O101">
        <f t="shared" si="6"/>
        <v>1309779.3511646925</v>
      </c>
      <c r="Q101">
        <f t="shared" si="7"/>
        <v>56.25</v>
      </c>
      <c r="R101">
        <f>K101*$I$12*$B$6*(1+0.015*K101)^'Balance Controls'!$D$35</f>
        <v>22.5</v>
      </c>
    </row>
    <row r="102" spans="11:18" x14ac:dyDescent="0.3">
      <c r="K102">
        <v>91</v>
      </c>
      <c r="L102" s="6">
        <f t="shared" si="4"/>
        <v>3477464177.3422594</v>
      </c>
      <c r="N102" s="13">
        <f t="shared" si="5"/>
        <v>2275</v>
      </c>
      <c r="O102">
        <f t="shared" si="6"/>
        <v>1528555.682348246</v>
      </c>
      <c r="Q102">
        <f t="shared" si="7"/>
        <v>56.875</v>
      </c>
      <c r="R102">
        <f>K102*$I$12*$B$6*(1+0.015*K102)^'Balance Controls'!$D$35</f>
        <v>22.75</v>
      </c>
    </row>
    <row r="103" spans="11:18" x14ac:dyDescent="0.3">
      <c r="K103">
        <v>92</v>
      </c>
      <c r="L103" s="6">
        <f t="shared" si="4"/>
        <v>4103407729.2638655</v>
      </c>
      <c r="N103" s="13">
        <f t="shared" si="5"/>
        <v>2300</v>
      </c>
      <c r="O103">
        <f t="shared" si="6"/>
        <v>1784090.3170712458</v>
      </c>
      <c r="Q103">
        <f t="shared" si="7"/>
        <v>57.5</v>
      </c>
      <c r="R103">
        <f>K103*$I$12*$B$6*(1+0.015*K103)^'Balance Controls'!$D$35</f>
        <v>23</v>
      </c>
    </row>
    <row r="104" spans="11:18" x14ac:dyDescent="0.3">
      <c r="K104">
        <v>93</v>
      </c>
      <c r="L104" s="6">
        <f t="shared" si="4"/>
        <v>4842021120.5313606</v>
      </c>
      <c r="N104" s="13">
        <f t="shared" si="5"/>
        <v>2325</v>
      </c>
      <c r="O104">
        <f t="shared" si="6"/>
        <v>2082589.7292608002</v>
      </c>
      <c r="Q104">
        <f t="shared" si="7"/>
        <v>58.125</v>
      </c>
      <c r="R104">
        <f>K104*$I$12*$B$6*(1+0.015*K104)^'Balance Controls'!$D$35</f>
        <v>23.25</v>
      </c>
    </row>
    <row r="105" spans="11:18" x14ac:dyDescent="0.3">
      <c r="K105">
        <v>94</v>
      </c>
      <c r="L105" s="6">
        <f t="shared" si="4"/>
        <v>5713584922.227005</v>
      </c>
      <c r="N105" s="13">
        <f t="shared" si="5"/>
        <v>2350</v>
      </c>
      <c r="O105">
        <f t="shared" si="6"/>
        <v>2431312.7328625554</v>
      </c>
      <c r="Q105">
        <f t="shared" si="7"/>
        <v>58.75</v>
      </c>
      <c r="R105">
        <f>K105*$I$12*$B$6*(1+0.015*K105)^'Balance Controls'!$D$35</f>
        <v>23.5</v>
      </c>
    </row>
    <row r="106" spans="11:18" x14ac:dyDescent="0.3">
      <c r="K106">
        <v>95</v>
      </c>
      <c r="L106" s="6">
        <f t="shared" si="4"/>
        <v>6742030208.2278671</v>
      </c>
      <c r="N106" s="13">
        <f t="shared" si="5"/>
        <v>2375</v>
      </c>
      <c r="O106">
        <f t="shared" si="6"/>
        <v>2838749.5613591019</v>
      </c>
      <c r="Q106">
        <f t="shared" si="7"/>
        <v>59.375</v>
      </c>
      <c r="R106">
        <f>K106*$I$12*$B$6*(1+0.015*K106)^'Balance Controls'!$D$35</f>
        <v>23.75</v>
      </c>
    </row>
    <row r="107" spans="11:18" x14ac:dyDescent="0.3">
      <c r="K107">
        <v>96</v>
      </c>
      <c r="L107" s="6">
        <f t="shared" si="4"/>
        <v>7955595645.7088814</v>
      </c>
      <c r="N107" s="13">
        <f t="shared" si="5"/>
        <v>2400</v>
      </c>
      <c r="O107">
        <f t="shared" si="6"/>
        <v>3314831.5190453674</v>
      </c>
      <c r="Q107">
        <f t="shared" si="7"/>
        <v>60</v>
      </c>
      <c r="R107">
        <f>K107*$I$12*$B$6*(1+0.015*K107)^'Balance Controls'!$D$35</f>
        <v>24</v>
      </c>
    </row>
    <row r="108" spans="11:18" x14ac:dyDescent="0.3">
      <c r="K108">
        <v>97</v>
      </c>
      <c r="L108" s="6">
        <f t="shared" si="4"/>
        <v>9387602861.9364796</v>
      </c>
      <c r="N108" s="13">
        <f t="shared" si="5"/>
        <v>2425</v>
      </c>
      <c r="O108">
        <f t="shared" si="6"/>
        <v>3871176.4379119505</v>
      </c>
      <c r="Q108">
        <f t="shared" si="7"/>
        <v>60.625</v>
      </c>
      <c r="R108">
        <f>K108*$I$12*$B$6*(1+0.015*K108)^'Balance Controls'!$D$35</f>
        <v>24.25</v>
      </c>
    </row>
    <row r="109" spans="11:18" x14ac:dyDescent="0.3">
      <c r="K109">
        <v>98</v>
      </c>
      <c r="L109" s="6">
        <f t="shared" si="4"/>
        <v>11077371377.085045</v>
      </c>
      <c r="N109" s="13">
        <f t="shared" si="5"/>
        <v>2450</v>
      </c>
      <c r="O109">
        <f t="shared" si="6"/>
        <v>4521376.0722796097</v>
      </c>
      <c r="Q109">
        <f t="shared" si="7"/>
        <v>61.25</v>
      </c>
      <c r="R109">
        <f>K109*$I$12*$B$6*(1+0.015*K109)^'Balance Controls'!$D$35</f>
        <v>24.5</v>
      </c>
    </row>
    <row r="110" spans="11:18" x14ac:dyDescent="0.3">
      <c r="K110">
        <v>99</v>
      </c>
      <c r="L110" s="6">
        <f t="shared" si="4"/>
        <v>13071298224.960354</v>
      </c>
      <c r="N110" s="13">
        <f t="shared" si="5"/>
        <v>2475</v>
      </c>
      <c r="O110">
        <f t="shared" si="6"/>
        <v>5281332.6161455978</v>
      </c>
      <c r="Q110">
        <f t="shared" si="7"/>
        <v>61.875</v>
      </c>
      <c r="R110">
        <f>K110*$I$12*$B$6*(1+0.015*K110)^'Balance Controls'!$D$35</f>
        <v>24.75</v>
      </c>
    </row>
    <row r="111" spans="11:18" x14ac:dyDescent="0.3">
      <c r="K111">
        <v>100</v>
      </c>
      <c r="L111" s="6">
        <f t="shared" si="4"/>
        <v>15424131905.453217</v>
      </c>
      <c r="N111" s="13">
        <f t="shared" si="5"/>
        <v>2500</v>
      </c>
      <c r="O111">
        <f t="shared" si="6"/>
        <v>6169652.7621812867</v>
      </c>
      <c r="Q111">
        <f t="shared" si="7"/>
        <v>62.5</v>
      </c>
      <c r="R111">
        <f>K111*$I$12*$B$6*(1+0.015*K111)^'Balance Controls'!$D$35</f>
        <v>25</v>
      </c>
    </row>
    <row r="112" spans="11:18" x14ac:dyDescent="0.3">
      <c r="K112">
        <v>101</v>
      </c>
      <c r="L112" s="6">
        <f t="shared" si="4"/>
        <v>18200475648.434792</v>
      </c>
      <c r="N112" s="13">
        <f t="shared" si="5"/>
        <v>2525</v>
      </c>
      <c r="O112">
        <f t="shared" si="6"/>
        <v>7208109.1676969472</v>
      </c>
      <c r="Q112">
        <f t="shared" si="7"/>
        <v>63.125</v>
      </c>
      <c r="R112">
        <f>K112*$I$12*$B$6*(1+0.015*K112)^'Balance Controls'!$D$35</f>
        <v>25.25</v>
      </c>
    </row>
    <row r="113" spans="11:18" x14ac:dyDescent="0.3">
      <c r="K113">
        <v>102</v>
      </c>
      <c r="L113" s="6">
        <f t="shared" si="4"/>
        <v>21476561265.153057</v>
      </c>
      <c r="N113" s="13">
        <f t="shared" si="5"/>
        <v>2550</v>
      </c>
      <c r="O113">
        <f t="shared" si="6"/>
        <v>8422180.8882953171</v>
      </c>
      <c r="Q113">
        <f t="shared" si="7"/>
        <v>63.75</v>
      </c>
      <c r="R113">
        <f>K113*$I$12*$B$6*(1+0.015*K113)^'Balance Controls'!$D$35</f>
        <v>25.5</v>
      </c>
    </row>
    <row r="114" spans="11:18" x14ac:dyDescent="0.3">
      <c r="K114">
        <v>103</v>
      </c>
      <c r="L114" s="6">
        <f t="shared" si="4"/>
        <v>25342342292.880608</v>
      </c>
      <c r="N114" s="13">
        <f t="shared" si="5"/>
        <v>2575</v>
      </c>
      <c r="O114">
        <f t="shared" si="6"/>
        <v>9841686.327332275</v>
      </c>
      <c r="Q114">
        <f t="shared" si="7"/>
        <v>64.375</v>
      </c>
      <c r="R114">
        <f>K114*$I$12*$B$6*(1+0.015*K114)^'Balance Controls'!$D$35</f>
        <v>25.75</v>
      </c>
    </row>
    <row r="115" spans="11:18" x14ac:dyDescent="0.3">
      <c r="K115">
        <v>104</v>
      </c>
      <c r="L115" s="6">
        <f t="shared" si="4"/>
        <v>29903963905.59911</v>
      </c>
      <c r="N115" s="13">
        <f t="shared" si="5"/>
        <v>2600</v>
      </c>
      <c r="O115">
        <f t="shared" si="6"/>
        <v>11501524.579076581</v>
      </c>
      <c r="Q115">
        <f t="shared" si="7"/>
        <v>65</v>
      </c>
      <c r="R115">
        <f>K115*$I$12*$B$6*(1+0.015*K115)^'Balance Controls'!$D$35</f>
        <v>26</v>
      </c>
    </row>
    <row r="116" spans="11:18" x14ac:dyDescent="0.3">
      <c r="K116">
        <v>105</v>
      </c>
      <c r="L116" s="6">
        <f t="shared" si="4"/>
        <v>35286677408.606949</v>
      </c>
      <c r="N116" s="13">
        <f t="shared" si="5"/>
        <v>2625</v>
      </c>
      <c r="O116">
        <f t="shared" si="6"/>
        <v>13442543.774707409</v>
      </c>
      <c r="Q116">
        <f t="shared" si="7"/>
        <v>65.625</v>
      </c>
      <c r="R116">
        <f>K116*$I$12*$B$6*(1+0.015*K116)^'Balance Controls'!$D$35</f>
        <v>26.25</v>
      </c>
    </row>
    <row r="117" spans="11:18" x14ac:dyDescent="0.3">
      <c r="K117">
        <v>106</v>
      </c>
      <c r="L117" s="6">
        <f t="shared" si="4"/>
        <v>41638279342.156197</v>
      </c>
      <c r="N117" s="13">
        <f t="shared" si="5"/>
        <v>2650</v>
      </c>
      <c r="O117">
        <f t="shared" si="6"/>
        <v>15712558.242323093</v>
      </c>
      <c r="Q117">
        <f t="shared" si="7"/>
        <v>66.25</v>
      </c>
      <c r="R117">
        <f>K117*$I$12*$B$6*(1+0.015*K117)^'Balance Controls'!$D$35</f>
        <v>26.5</v>
      </c>
    </row>
    <row r="118" spans="11:18" x14ac:dyDescent="0.3">
      <c r="K118">
        <v>107</v>
      </c>
      <c r="L118" s="6">
        <f t="shared" si="4"/>
        <v>49133169623.744308</v>
      </c>
      <c r="N118" s="13">
        <f t="shared" si="5"/>
        <v>2675</v>
      </c>
      <c r="O118">
        <f t="shared" si="6"/>
        <v>18367540.046259556</v>
      </c>
      <c r="Q118">
        <f t="shared" si="7"/>
        <v>66.875</v>
      </c>
      <c r="R118">
        <f>K118*$I$12*$B$6*(1+0.015*K118)^'Balance Controls'!$D$35</f>
        <v>26.75</v>
      </c>
    </row>
    <row r="119" spans="11:18" x14ac:dyDescent="0.3">
      <c r="K119">
        <v>108</v>
      </c>
      <c r="L119" s="6">
        <f t="shared" si="4"/>
        <v>57977140156.01828</v>
      </c>
      <c r="N119" s="13">
        <f t="shared" si="5"/>
        <v>2700</v>
      </c>
      <c r="O119">
        <f t="shared" si="6"/>
        <v>21473014.872599363</v>
      </c>
      <c r="Q119">
        <f t="shared" si="7"/>
        <v>67.5</v>
      </c>
      <c r="R119">
        <f>K119*$I$12*$B$6*(1+0.015*K119)^'Balance Controls'!$D$35</f>
        <v>27</v>
      </c>
    </row>
    <row r="120" spans="11:18" x14ac:dyDescent="0.3">
      <c r="K120">
        <v>109</v>
      </c>
      <c r="L120" s="6">
        <f t="shared" si="4"/>
        <v>68413025384.10157</v>
      </c>
      <c r="N120" s="13">
        <f t="shared" si="5"/>
        <v>2725</v>
      </c>
      <c r="O120">
        <f t="shared" si="6"/>
        <v>25105697.388661128</v>
      </c>
      <c r="Q120">
        <f t="shared" si="7"/>
        <v>68.125</v>
      </c>
      <c r="R120">
        <f>K120*$I$12*$B$6*(1+0.015*K120)^'Balance Controls'!$D$35</f>
        <v>27.25</v>
      </c>
    </row>
    <row r="121" spans="11:18" x14ac:dyDescent="0.3">
      <c r="K121">
        <v>110</v>
      </c>
      <c r="L121" s="6">
        <f t="shared" si="4"/>
        <v>80727369953.239853</v>
      </c>
      <c r="N121" s="13">
        <f t="shared" si="5"/>
        <v>2750</v>
      </c>
      <c r="O121">
        <f t="shared" si="6"/>
        <v>29355407.255723584</v>
      </c>
      <c r="Q121">
        <f t="shared" si="7"/>
        <v>68.75</v>
      </c>
      <c r="R121">
        <f>K121*$I$12*$B$6*(1+0.015*K121)^'Balance Controls'!$D$35</f>
        <v>27.5</v>
      </c>
    </row>
    <row r="122" spans="11:18" x14ac:dyDescent="0.3">
      <c r="K122">
        <v>111</v>
      </c>
      <c r="L122" s="6">
        <f t="shared" si="4"/>
        <v>95258296544.823013</v>
      </c>
      <c r="N122" s="13">
        <f t="shared" si="5"/>
        <v>2775</v>
      </c>
      <c r="O122">
        <f t="shared" si="6"/>
        <v>34327314.070206493</v>
      </c>
      <c r="Q122">
        <f t="shared" si="7"/>
        <v>69.375</v>
      </c>
      <c r="R122">
        <f>K122*$I$12*$B$6*(1+0.015*K122)^'Balance Controls'!$D$35</f>
        <v>27.75</v>
      </c>
    </row>
    <row r="123" spans="11:18" x14ac:dyDescent="0.3">
      <c r="K123">
        <v>112</v>
      </c>
      <c r="L123" s="6">
        <f t="shared" si="4"/>
        <v>112404789922.89117</v>
      </c>
      <c r="N123" s="13">
        <f t="shared" si="5"/>
        <v>2800</v>
      </c>
      <c r="O123">
        <f t="shared" si="6"/>
        <v>40144567.829603992</v>
      </c>
      <c r="Q123">
        <f t="shared" si="7"/>
        <v>70</v>
      </c>
      <c r="R123">
        <f>K123*$I$12*$B$6*(1+0.015*K123)^'Balance Controls'!$D$35</f>
        <v>28</v>
      </c>
    </row>
    <row r="124" spans="11:18" x14ac:dyDescent="0.3">
      <c r="K124">
        <v>113</v>
      </c>
      <c r="L124" s="6">
        <f t="shared" si="4"/>
        <v>132637652109.01158</v>
      </c>
      <c r="N124" s="13">
        <f t="shared" si="5"/>
        <v>2825</v>
      </c>
      <c r="O124">
        <f t="shared" si="6"/>
        <v>46951381.277526222</v>
      </c>
      <c r="Q124">
        <f t="shared" si="7"/>
        <v>70.625</v>
      </c>
      <c r="R124">
        <f>K124*$I$12*$B$6*(1+0.015*K124)^'Balance Controls'!$D$35</f>
        <v>28.25</v>
      </c>
    </row>
    <row r="125" spans="11:18" x14ac:dyDescent="0.3">
      <c r="K125">
        <v>114</v>
      </c>
      <c r="L125" s="6">
        <f t="shared" si="4"/>
        <v>156512429488.63364</v>
      </c>
      <c r="N125" s="13">
        <f t="shared" si="5"/>
        <v>2850</v>
      </c>
      <c r="O125">
        <f t="shared" si="6"/>
        <v>54916641.925836362</v>
      </c>
      <c r="Q125">
        <f t="shared" si="7"/>
        <v>71.25</v>
      </c>
      <c r="R125">
        <f>K125*$I$12*$B$6*(1+0.015*K125)^'Balance Controls'!$D$35</f>
        <v>28.5</v>
      </c>
    </row>
    <row r="126" spans="11:18" x14ac:dyDescent="0.3">
      <c r="K126">
        <v>115</v>
      </c>
      <c r="L126" s="6">
        <f t="shared" si="4"/>
        <v>184684666796.58765</v>
      </c>
      <c r="N126" s="13">
        <f t="shared" si="5"/>
        <v>2875</v>
      </c>
      <c r="O126">
        <f t="shared" si="6"/>
        <v>64238144.972726136</v>
      </c>
      <c r="Q126">
        <f t="shared" si="7"/>
        <v>71.875</v>
      </c>
      <c r="R126">
        <f>K126*$I$12*$B$6*(1+0.015*K126)^'Balance Controls'!$D$35</f>
        <v>28.75</v>
      </c>
    </row>
    <row r="127" spans="11:18" x14ac:dyDescent="0.3">
      <c r="K127">
        <v>116</v>
      </c>
      <c r="L127" s="6">
        <f t="shared" si="4"/>
        <v>217927906819.97345</v>
      </c>
      <c r="N127" s="13">
        <f t="shared" si="5"/>
        <v>2900</v>
      </c>
      <c r="O127">
        <f t="shared" si="6"/>
        <v>75147554.075852916</v>
      </c>
      <c r="Q127">
        <f t="shared" si="7"/>
        <v>72.5</v>
      </c>
      <c r="R127">
        <f>K127*$I$12*$B$6*(1+0.015*K127)^'Balance Controls'!$D$35</f>
        <v>29</v>
      </c>
    </row>
    <row r="128" spans="11:18" x14ac:dyDescent="0.3">
      <c r="K128">
        <v>117</v>
      </c>
      <c r="L128" s="6">
        <f t="shared" si="4"/>
        <v>257154930047.5686</v>
      </c>
      <c r="N128" s="13">
        <f t="shared" si="5"/>
        <v>2925</v>
      </c>
      <c r="O128">
        <f t="shared" si="6"/>
        <v>87916215.400878161</v>
      </c>
      <c r="Q128">
        <f t="shared" si="7"/>
        <v>73.125</v>
      </c>
      <c r="R128">
        <f>K128*$I$12*$B$6*(1+0.015*K128)^'Balance Controls'!$D$35</f>
        <v>29.25</v>
      </c>
    </row>
    <row r="129" spans="11:18" x14ac:dyDescent="0.3">
      <c r="K129">
        <v>118</v>
      </c>
      <c r="L129" s="6">
        <f t="shared" si="4"/>
        <v>303442817456.13098</v>
      </c>
      <c r="N129" s="13">
        <f t="shared" si="5"/>
        <v>2950</v>
      </c>
      <c r="O129">
        <f t="shared" si="6"/>
        <v>102861972.01902746</v>
      </c>
      <c r="Q129">
        <f t="shared" si="7"/>
        <v>73.75</v>
      </c>
      <c r="R129">
        <f>K129*$I$12*$B$6*(1+0.015*K129)^'Balance Controls'!$D$35</f>
        <v>29.5</v>
      </c>
    </row>
    <row r="130" spans="11:18" x14ac:dyDescent="0.3">
      <c r="K130">
        <v>119</v>
      </c>
      <c r="L130" s="6">
        <f t="shared" si="4"/>
        <v>358062524598.23456</v>
      </c>
      <c r="N130" s="13">
        <f t="shared" si="5"/>
        <v>2975</v>
      </c>
      <c r="O130">
        <f t="shared" si="6"/>
        <v>120357151.12545699</v>
      </c>
      <c r="Q130">
        <f t="shared" si="7"/>
        <v>74.375</v>
      </c>
      <c r="R130">
        <f>K130*$I$12*$B$6*(1+0.015*K130)^'Balance Controls'!$D$35</f>
        <v>29.75</v>
      </c>
    </row>
    <row r="131" spans="11:18" x14ac:dyDescent="0.3">
      <c r="K131">
        <v>120</v>
      </c>
      <c r="L131" s="6">
        <f t="shared" si="4"/>
        <v>422513779025.91675</v>
      </c>
      <c r="N131" s="13">
        <f t="shared" si="5"/>
        <v>3000</v>
      </c>
      <c r="O131">
        <f t="shared" si="6"/>
        <v>140837926.34197226</v>
      </c>
      <c r="Q131">
        <f t="shared" si="7"/>
        <v>75</v>
      </c>
      <c r="R131">
        <f>K131*$I$12*$B$6*(1+0.015*K131)^'Balance Controls'!$D$35</f>
        <v>30</v>
      </c>
    </row>
    <row r="132" spans="11:18" x14ac:dyDescent="0.3">
      <c r="K132">
        <v>121</v>
      </c>
      <c r="L132" s="6">
        <f t="shared" si="4"/>
        <v>498566259250.58173</v>
      </c>
      <c r="N132" s="13">
        <f t="shared" si="5"/>
        <v>3025</v>
      </c>
      <c r="O132">
        <f t="shared" si="6"/>
        <v>164815292.31424189</v>
      </c>
      <c r="Q132">
        <f t="shared" si="7"/>
        <v>75.625</v>
      </c>
      <c r="R132">
        <f>K132*$I$12*$B$6*(1+0.015*K132)^'Balance Controls'!$D$35</f>
        <v>30.25</v>
      </c>
    </row>
    <row r="133" spans="11:18" x14ac:dyDescent="0.3">
      <c r="K133">
        <v>122</v>
      </c>
      <c r="L133" s="6">
        <f t="shared" si="4"/>
        <v>588308185915.6864</v>
      </c>
      <c r="N133" s="13">
        <f t="shared" si="5"/>
        <v>3050</v>
      </c>
      <c r="O133">
        <f t="shared" si="6"/>
        <v>192887929.80842176</v>
      </c>
      <c r="Q133">
        <f t="shared" si="7"/>
        <v>76.25</v>
      </c>
      <c r="R133">
        <f>K133*$I$12*$B$6*(1+0.015*K133)^'Balance Controls'!$D$35</f>
        <v>30.5</v>
      </c>
    </row>
    <row r="134" spans="11:18" x14ac:dyDescent="0.3">
      <c r="K134">
        <v>123</v>
      </c>
      <c r="L134" s="6">
        <f t="shared" si="4"/>
        <v>694203659380.51013</v>
      </c>
      <c r="N134" s="13">
        <f t="shared" si="5"/>
        <v>3075</v>
      </c>
      <c r="O134">
        <f t="shared" si="6"/>
        <v>225757287.60341793</v>
      </c>
      <c r="Q134">
        <f t="shared" si="7"/>
        <v>76.875</v>
      </c>
      <c r="R134">
        <f>K134*$I$12*$B$6*(1+0.015*K134)^'Balance Controls'!$D$35</f>
        <v>30.75</v>
      </c>
    </row>
    <row r="135" spans="11:18" x14ac:dyDescent="0.3">
      <c r="K135">
        <v>124</v>
      </c>
      <c r="L135" s="6">
        <f t="shared" si="4"/>
        <v>819160318069.00171</v>
      </c>
      <c r="N135" s="13">
        <f t="shared" si="5"/>
        <v>3100</v>
      </c>
      <c r="O135">
        <f t="shared" si="6"/>
        <v>264245263.89322636</v>
      </c>
      <c r="Q135">
        <f t="shared" si="7"/>
        <v>77.5</v>
      </c>
      <c r="R135">
        <f>K135*$I$12*$B$6*(1+0.015*K135)^'Balance Controls'!$D$35</f>
        <v>31</v>
      </c>
    </row>
    <row r="136" spans="11:18" x14ac:dyDescent="0.3">
      <c r="K136">
        <v>125</v>
      </c>
      <c r="L136" s="6">
        <f t="shared" si="4"/>
        <v>966609175321.42188</v>
      </c>
      <c r="N136" s="13">
        <f t="shared" si="5"/>
        <v>3125</v>
      </c>
      <c r="O136">
        <f t="shared" si="6"/>
        <v>309314936.10285503</v>
      </c>
      <c r="Q136">
        <f t="shared" si="7"/>
        <v>78.125</v>
      </c>
      <c r="R136">
        <f>K136*$I$12*$B$6*(1+0.015*K136)^'Balance Controls'!$D$35</f>
        <v>31.25</v>
      </c>
    </row>
    <row r="137" spans="11:18" x14ac:dyDescent="0.3">
      <c r="K137">
        <v>126</v>
      </c>
      <c r="L137" s="6">
        <f t="shared" si="4"/>
        <v>1140598826879.2776</v>
      </c>
      <c r="N137" s="13">
        <f t="shared" si="5"/>
        <v>3150</v>
      </c>
      <c r="O137">
        <f t="shared" si="6"/>
        <v>362094865.67596114</v>
      </c>
      <c r="Q137">
        <f t="shared" si="7"/>
        <v>78.75</v>
      </c>
      <c r="R137">
        <f>K137*$I$12*$B$6*(1+0.015*K137)^'Balance Controls'!$D$35</f>
        <v>31.5</v>
      </c>
    </row>
    <row r="138" spans="11:18" x14ac:dyDescent="0.3">
      <c r="K138">
        <v>127</v>
      </c>
      <c r="L138" s="6">
        <f t="shared" si="4"/>
        <v>1345906615717.5476</v>
      </c>
      <c r="N138" s="13">
        <f t="shared" si="5"/>
        <v>3175</v>
      </c>
      <c r="O138">
        <f t="shared" si="6"/>
        <v>423907595.50158978</v>
      </c>
      <c r="Q138">
        <f t="shared" si="7"/>
        <v>79.375</v>
      </c>
      <c r="R138">
        <f>K138*$I$12*$B$6*(1+0.015*K138)^'Balance Controls'!$D$35</f>
        <v>31.75</v>
      </c>
    </row>
    <row r="139" spans="11:18" x14ac:dyDescent="0.3">
      <c r="K139">
        <v>128</v>
      </c>
      <c r="L139" s="6">
        <f t="shared" ref="L139:L202" si="8">$I$6*($I$7^K139)</f>
        <v>1588169806546.7063</v>
      </c>
      <c r="N139" s="13">
        <f t="shared" ref="N139:N202" si="9">K139*$I$8*$B$10</f>
        <v>3200</v>
      </c>
      <c r="O139">
        <f t="shared" ref="O139:O202" si="10">L139/N139</f>
        <v>496303064.54584575</v>
      </c>
      <c r="Q139">
        <f t="shared" ref="Q139:Q202" si="11">K139*$I$11*$B$5</f>
        <v>80</v>
      </c>
      <c r="R139">
        <f>K139*$I$12*$B$6*(1+0.015*K139)^'Balance Controls'!$D$35</f>
        <v>32</v>
      </c>
    </row>
    <row r="140" spans="11:18" x14ac:dyDescent="0.3">
      <c r="K140">
        <v>129</v>
      </c>
      <c r="L140" s="6">
        <f t="shared" si="8"/>
        <v>1874040371725.113</v>
      </c>
      <c r="N140" s="13">
        <f t="shared" si="9"/>
        <v>3225</v>
      </c>
      <c r="O140">
        <f t="shared" si="10"/>
        <v>581097789.68220556</v>
      </c>
      <c r="Q140">
        <f t="shared" si="11"/>
        <v>80.625</v>
      </c>
      <c r="R140">
        <f>K140*$I$12*$B$6*(1+0.015*K140)^'Balance Controls'!$D$35</f>
        <v>32.25</v>
      </c>
    </row>
    <row r="141" spans="11:18" x14ac:dyDescent="0.3">
      <c r="K141">
        <v>130</v>
      </c>
      <c r="L141" s="6">
        <f t="shared" si="8"/>
        <v>2211367638635.6333</v>
      </c>
      <c r="N141" s="13">
        <f t="shared" si="9"/>
        <v>3250</v>
      </c>
      <c r="O141">
        <f t="shared" si="10"/>
        <v>680420811.88788712</v>
      </c>
      <c r="Q141">
        <f t="shared" si="11"/>
        <v>81.25</v>
      </c>
      <c r="R141">
        <f>K141*$I$12*$B$6*(1+0.015*K141)^'Balance Controls'!$D$35</f>
        <v>32.5</v>
      </c>
    </row>
    <row r="142" spans="11:18" x14ac:dyDescent="0.3">
      <c r="K142">
        <v>131</v>
      </c>
      <c r="L142" s="6">
        <f t="shared" si="8"/>
        <v>2609413813590.0474</v>
      </c>
      <c r="N142" s="13">
        <f t="shared" si="9"/>
        <v>3275</v>
      </c>
      <c r="O142">
        <f t="shared" si="10"/>
        <v>796767576.66871679</v>
      </c>
      <c r="Q142">
        <f t="shared" si="11"/>
        <v>81.875</v>
      </c>
      <c r="R142">
        <f>K142*$I$12*$B$6*(1+0.015*K142)^'Balance Controls'!$D$35</f>
        <v>32.75</v>
      </c>
    </row>
    <row r="143" spans="11:18" x14ac:dyDescent="0.3">
      <c r="K143">
        <v>132</v>
      </c>
      <c r="L143" s="6">
        <f t="shared" si="8"/>
        <v>3079108300036.2559</v>
      </c>
      <c r="N143" s="13">
        <f t="shared" si="9"/>
        <v>3300</v>
      </c>
      <c r="O143">
        <f t="shared" si="10"/>
        <v>933063121.22310781</v>
      </c>
      <c r="Q143">
        <f t="shared" si="11"/>
        <v>82.5</v>
      </c>
      <c r="R143">
        <f>K143*$I$12*$B$6*(1+0.015*K143)^'Balance Controls'!$D$35</f>
        <v>33</v>
      </c>
    </row>
    <row r="144" spans="11:18" x14ac:dyDescent="0.3">
      <c r="K144">
        <v>133</v>
      </c>
      <c r="L144" s="6">
        <f t="shared" si="8"/>
        <v>3633347794042.7813</v>
      </c>
      <c r="N144" s="13">
        <f t="shared" si="9"/>
        <v>3325</v>
      </c>
      <c r="O144">
        <f t="shared" si="10"/>
        <v>1092736178.6594832</v>
      </c>
      <c r="Q144">
        <f t="shared" si="11"/>
        <v>83.125</v>
      </c>
      <c r="R144">
        <f>K144*$I$12*$B$6*(1+0.015*K144)^'Balance Controls'!$D$35</f>
        <v>33.25</v>
      </c>
    </row>
    <row r="145" spans="11:18" x14ac:dyDescent="0.3">
      <c r="K145">
        <v>134</v>
      </c>
      <c r="L145" s="6">
        <f t="shared" si="8"/>
        <v>4287350396970.4824</v>
      </c>
      <c r="N145" s="13">
        <f t="shared" si="9"/>
        <v>3350</v>
      </c>
      <c r="O145">
        <f t="shared" si="10"/>
        <v>1279806088.6479051</v>
      </c>
      <c r="Q145">
        <f t="shared" si="11"/>
        <v>83.75</v>
      </c>
      <c r="R145">
        <f>K145*$I$12*$B$6*(1+0.015*K145)^'Balance Controls'!$D$35</f>
        <v>33.5</v>
      </c>
    </row>
    <row r="146" spans="11:18" x14ac:dyDescent="0.3">
      <c r="K146">
        <v>135</v>
      </c>
      <c r="L146" s="6">
        <f t="shared" si="8"/>
        <v>5059073468425.1689</v>
      </c>
      <c r="N146" s="13">
        <f t="shared" si="9"/>
        <v>3375</v>
      </c>
      <c r="O146">
        <f t="shared" si="10"/>
        <v>1498984731.3852353</v>
      </c>
      <c r="Q146">
        <f t="shared" si="11"/>
        <v>84.375</v>
      </c>
      <c r="R146">
        <f>K146*$I$12*$B$6*(1+0.015*K146)^'Balance Controls'!$D$35</f>
        <v>33.75</v>
      </c>
    </row>
    <row r="147" spans="11:18" x14ac:dyDescent="0.3">
      <c r="K147">
        <v>136</v>
      </c>
      <c r="L147" s="6">
        <f t="shared" si="8"/>
        <v>5969706692741.6982</v>
      </c>
      <c r="N147" s="13">
        <f t="shared" si="9"/>
        <v>3400</v>
      </c>
      <c r="O147">
        <f t="shared" si="10"/>
        <v>1755796086.1004994</v>
      </c>
      <c r="Q147">
        <f t="shared" si="11"/>
        <v>85</v>
      </c>
      <c r="R147">
        <f>K147*$I$12*$B$6*(1+0.015*K147)^'Balance Controls'!$D$35</f>
        <v>34</v>
      </c>
    </row>
    <row r="148" spans="11:18" x14ac:dyDescent="0.3">
      <c r="K148">
        <v>137</v>
      </c>
      <c r="L148" s="6">
        <f t="shared" si="8"/>
        <v>7044253897435.2041</v>
      </c>
      <c r="N148" s="13">
        <f t="shared" si="9"/>
        <v>3425</v>
      </c>
      <c r="O148">
        <f t="shared" si="10"/>
        <v>2056716466.4044392</v>
      </c>
      <c r="Q148">
        <f t="shared" si="11"/>
        <v>85.625</v>
      </c>
      <c r="R148">
        <f>K148*$I$12*$B$6*(1+0.015*K148)^'Balance Controls'!$D$35</f>
        <v>34.25</v>
      </c>
    </row>
    <row r="149" spans="11:18" x14ac:dyDescent="0.3">
      <c r="K149">
        <v>138</v>
      </c>
      <c r="L149" s="6">
        <f t="shared" si="8"/>
        <v>8312219598973.54</v>
      </c>
      <c r="N149" s="13">
        <f t="shared" si="9"/>
        <v>3450</v>
      </c>
      <c r="O149">
        <f t="shared" si="10"/>
        <v>2409339014.1952291</v>
      </c>
      <c r="Q149">
        <f t="shared" si="11"/>
        <v>86.25</v>
      </c>
      <c r="R149">
        <f>K149*$I$12*$B$6*(1+0.015*K149)^'Balance Controls'!$D$35</f>
        <v>34.5</v>
      </c>
    </row>
    <row r="150" spans="11:18" x14ac:dyDescent="0.3">
      <c r="K150">
        <v>139</v>
      </c>
      <c r="L150" s="6">
        <f t="shared" si="8"/>
        <v>9808419126788.7773</v>
      </c>
      <c r="N150" s="13">
        <f t="shared" si="9"/>
        <v>3475</v>
      </c>
      <c r="O150">
        <f t="shared" si="10"/>
        <v>2822566655.1910152</v>
      </c>
      <c r="Q150">
        <f t="shared" si="11"/>
        <v>86.875</v>
      </c>
      <c r="R150">
        <f>K150*$I$12*$B$6*(1+0.015*K150)^'Balance Controls'!$D$35</f>
        <v>34.75</v>
      </c>
    </row>
    <row r="151" spans="11:18" x14ac:dyDescent="0.3">
      <c r="K151">
        <v>140</v>
      </c>
      <c r="L151" s="6">
        <f t="shared" si="8"/>
        <v>11573934569610.756</v>
      </c>
      <c r="N151" s="13">
        <f t="shared" si="9"/>
        <v>3500</v>
      </c>
      <c r="O151">
        <f t="shared" si="10"/>
        <v>3306838448.460216</v>
      </c>
      <c r="Q151">
        <f t="shared" si="11"/>
        <v>87.5</v>
      </c>
      <c r="R151">
        <f>K151*$I$12*$B$6*(1+0.015*K151)^'Balance Controls'!$D$35</f>
        <v>35</v>
      </c>
    </row>
    <row r="152" spans="11:18" x14ac:dyDescent="0.3">
      <c r="K152">
        <v>141</v>
      </c>
      <c r="L152" s="6">
        <f t="shared" si="8"/>
        <v>13657242792140.689</v>
      </c>
      <c r="N152" s="13">
        <f t="shared" si="9"/>
        <v>3525</v>
      </c>
      <c r="O152">
        <f t="shared" si="10"/>
        <v>3874395118.3377843</v>
      </c>
      <c r="Q152">
        <f t="shared" si="11"/>
        <v>88.125</v>
      </c>
      <c r="R152">
        <f>K152*$I$12*$B$6*(1+0.015*K152)^'Balance Controls'!$D$35</f>
        <v>35.25</v>
      </c>
    </row>
    <row r="153" spans="11:18" x14ac:dyDescent="0.3">
      <c r="K153">
        <v>142</v>
      </c>
      <c r="L153" s="6">
        <f t="shared" si="8"/>
        <v>16115546494726.016</v>
      </c>
      <c r="N153" s="13">
        <f t="shared" si="9"/>
        <v>3550</v>
      </c>
      <c r="O153">
        <f t="shared" si="10"/>
        <v>4539590561.8946524</v>
      </c>
      <c r="Q153">
        <f t="shared" si="11"/>
        <v>88.75</v>
      </c>
      <c r="R153">
        <f>K153*$I$12*$B$6*(1+0.015*K153)^'Balance Controls'!$D$35</f>
        <v>35.5</v>
      </c>
    </row>
    <row r="154" spans="11:18" x14ac:dyDescent="0.3">
      <c r="K154">
        <v>143</v>
      </c>
      <c r="L154" s="6">
        <f t="shared" si="8"/>
        <v>19016344863776.699</v>
      </c>
      <c r="N154" s="13">
        <f t="shared" si="9"/>
        <v>3575</v>
      </c>
      <c r="O154">
        <f t="shared" si="10"/>
        <v>5319257304.5529232</v>
      </c>
      <c r="Q154">
        <f t="shared" si="11"/>
        <v>89.375</v>
      </c>
      <c r="R154">
        <f>K154*$I$12*$B$6*(1+0.015*K154)^'Balance Controls'!$D$35</f>
        <v>35.75</v>
      </c>
    </row>
    <row r="155" spans="11:18" x14ac:dyDescent="0.3">
      <c r="K155">
        <v>144</v>
      </c>
      <c r="L155" s="6">
        <f t="shared" si="8"/>
        <v>22439286939256.5</v>
      </c>
      <c r="N155" s="13">
        <f t="shared" si="9"/>
        <v>3600</v>
      </c>
      <c r="O155">
        <f t="shared" si="10"/>
        <v>6233135260.904583</v>
      </c>
      <c r="Q155">
        <f t="shared" si="11"/>
        <v>90</v>
      </c>
      <c r="R155">
        <f>K155*$I$12*$B$6*(1+0.015*K155)^'Balance Controls'!$D$35</f>
        <v>36</v>
      </c>
    </row>
    <row r="156" spans="11:18" x14ac:dyDescent="0.3">
      <c r="K156">
        <v>145</v>
      </c>
      <c r="L156" s="6">
        <f t="shared" si="8"/>
        <v>26478358588322.672</v>
      </c>
      <c r="N156" s="13">
        <f t="shared" si="9"/>
        <v>3625</v>
      </c>
      <c r="O156">
        <f t="shared" si="10"/>
        <v>7304374782.9855642</v>
      </c>
      <c r="Q156">
        <f t="shared" si="11"/>
        <v>90.625</v>
      </c>
      <c r="R156">
        <f>K156*$I$12*$B$6*(1+0.015*K156)^'Balance Controls'!$D$35</f>
        <v>36.25</v>
      </c>
    </row>
    <row r="157" spans="11:18" x14ac:dyDescent="0.3">
      <c r="K157">
        <v>146</v>
      </c>
      <c r="L157" s="6">
        <f t="shared" si="8"/>
        <v>31244463134220.754</v>
      </c>
      <c r="N157" s="13">
        <f t="shared" si="9"/>
        <v>3650</v>
      </c>
      <c r="O157">
        <f t="shared" si="10"/>
        <v>8560126886.0878782</v>
      </c>
      <c r="Q157">
        <f t="shared" si="11"/>
        <v>91.25</v>
      </c>
      <c r="R157">
        <f>K157*$I$12*$B$6*(1+0.015*K157)^'Balance Controls'!$D$35</f>
        <v>36.5</v>
      </c>
    </row>
    <row r="158" spans="11:18" x14ac:dyDescent="0.3">
      <c r="K158">
        <v>147</v>
      </c>
      <c r="L158" s="6">
        <f t="shared" si="8"/>
        <v>36868466498380.484</v>
      </c>
      <c r="N158" s="13">
        <f t="shared" si="9"/>
        <v>3675</v>
      </c>
      <c r="O158">
        <f t="shared" si="10"/>
        <v>10032235781.87224</v>
      </c>
      <c r="Q158">
        <f t="shared" si="11"/>
        <v>91.875</v>
      </c>
      <c r="R158">
        <f>K158*$I$12*$B$6*(1+0.015*K158)^'Balance Controls'!$D$35</f>
        <v>36.75</v>
      </c>
    </row>
    <row r="159" spans="11:18" x14ac:dyDescent="0.3">
      <c r="K159">
        <v>148</v>
      </c>
      <c r="L159" s="6">
        <f t="shared" si="8"/>
        <v>43504790468088.969</v>
      </c>
      <c r="N159" s="13">
        <f t="shared" si="9"/>
        <v>3700</v>
      </c>
      <c r="O159">
        <f t="shared" si="10"/>
        <v>11758051477.861883</v>
      </c>
      <c r="Q159">
        <f t="shared" si="11"/>
        <v>92.5</v>
      </c>
      <c r="R159">
        <f>K159*$I$12*$B$6*(1+0.015*K159)^'Balance Controls'!$D$35</f>
        <v>37</v>
      </c>
    </row>
    <row r="160" spans="11:18" x14ac:dyDescent="0.3">
      <c r="K160">
        <v>149</v>
      </c>
      <c r="L160" s="6">
        <f t="shared" si="8"/>
        <v>51335652752344.969</v>
      </c>
      <c r="N160" s="13">
        <f t="shared" si="9"/>
        <v>3725</v>
      </c>
      <c r="O160">
        <f t="shared" si="10"/>
        <v>13781383289.220125</v>
      </c>
      <c r="Q160">
        <f t="shared" si="11"/>
        <v>93.125</v>
      </c>
      <c r="R160">
        <f>K160*$I$12*$B$6*(1+0.015*K160)^'Balance Controls'!$D$35</f>
        <v>37.25</v>
      </c>
    </row>
    <row r="161" spans="11:18" x14ac:dyDescent="0.3">
      <c r="K161">
        <v>150</v>
      </c>
      <c r="L161" s="6">
        <f t="shared" si="8"/>
        <v>60576070247767.07</v>
      </c>
      <c r="N161" s="13">
        <f t="shared" si="9"/>
        <v>3750</v>
      </c>
      <c r="O161">
        <f t="shared" si="10"/>
        <v>16153618732.737885</v>
      </c>
      <c r="Q161">
        <f t="shared" si="11"/>
        <v>93.75</v>
      </c>
      <c r="R161">
        <f>K161*$I$12*$B$6*(1+0.015*K161)^'Balance Controls'!$D$35</f>
        <v>37.5</v>
      </c>
    </row>
    <row r="162" spans="11:18" x14ac:dyDescent="0.3">
      <c r="K162">
        <v>151</v>
      </c>
      <c r="L162" s="6">
        <f t="shared" si="8"/>
        <v>71479762892365.141</v>
      </c>
      <c r="N162" s="13">
        <f t="shared" si="9"/>
        <v>3775</v>
      </c>
      <c r="O162">
        <f t="shared" si="10"/>
        <v>18935036527.778847</v>
      </c>
      <c r="Q162">
        <f t="shared" si="11"/>
        <v>94.375</v>
      </c>
      <c r="R162">
        <f>K162*$I$12*$B$6*(1+0.015*K162)^'Balance Controls'!$D$35</f>
        <v>37.75</v>
      </c>
    </row>
    <row r="163" spans="11:18" x14ac:dyDescent="0.3">
      <c r="K163">
        <v>152</v>
      </c>
      <c r="L163" s="6">
        <f t="shared" si="8"/>
        <v>84346120212990.859</v>
      </c>
      <c r="N163" s="13">
        <f t="shared" si="9"/>
        <v>3800</v>
      </c>
      <c r="O163">
        <f t="shared" si="10"/>
        <v>22196347424.471279</v>
      </c>
      <c r="Q163">
        <f t="shared" si="11"/>
        <v>95</v>
      </c>
      <c r="R163">
        <f>K163*$I$12*$B$6*(1+0.015*K163)^'Balance Controls'!$D$35</f>
        <v>38</v>
      </c>
    </row>
    <row r="164" spans="11:18" x14ac:dyDescent="0.3">
      <c r="K164">
        <v>153</v>
      </c>
      <c r="L164" s="6">
        <f t="shared" si="8"/>
        <v>99528421851329.219</v>
      </c>
      <c r="N164" s="13">
        <f t="shared" si="9"/>
        <v>3825</v>
      </c>
      <c r="O164">
        <f t="shared" si="10"/>
        <v>26020502444.791954</v>
      </c>
      <c r="Q164">
        <f t="shared" si="11"/>
        <v>95.625</v>
      </c>
      <c r="R164">
        <f>K164*$I$12*$B$6*(1+0.015*K164)^'Balance Controls'!$D$35</f>
        <v>38.25</v>
      </c>
    </row>
    <row r="165" spans="11:18" x14ac:dyDescent="0.3">
      <c r="K165">
        <v>154</v>
      </c>
      <c r="L165" s="6">
        <f t="shared" si="8"/>
        <v>117443537784568.45</v>
      </c>
      <c r="N165" s="13">
        <f t="shared" si="9"/>
        <v>3850</v>
      </c>
      <c r="O165">
        <f t="shared" si="10"/>
        <v>30504815008.978821</v>
      </c>
      <c r="Q165">
        <f t="shared" si="11"/>
        <v>96.25</v>
      </c>
      <c r="R165">
        <f>K165*$I$12*$B$6*(1+0.015*K165)^'Balance Controls'!$D$35</f>
        <v>38.5</v>
      </c>
    </row>
    <row r="166" spans="11:18" x14ac:dyDescent="0.3">
      <c r="K166">
        <v>155</v>
      </c>
      <c r="L166" s="6">
        <f t="shared" si="8"/>
        <v>138583374585790.8</v>
      </c>
      <c r="N166" s="13">
        <f t="shared" si="9"/>
        <v>3875</v>
      </c>
      <c r="O166">
        <f t="shared" si="10"/>
        <v>35763451506.010529</v>
      </c>
      <c r="Q166">
        <f t="shared" si="11"/>
        <v>96.875</v>
      </c>
      <c r="R166">
        <f>K166*$I$12*$B$6*(1+0.015*K166)^'Balance Controls'!$D$35</f>
        <v>38.75</v>
      </c>
    </row>
    <row r="167" spans="11:18" x14ac:dyDescent="0.3">
      <c r="K167">
        <v>156</v>
      </c>
      <c r="L167" s="6">
        <f t="shared" si="8"/>
        <v>163528382011233.09</v>
      </c>
      <c r="N167" s="13">
        <f t="shared" si="9"/>
        <v>3900</v>
      </c>
      <c r="O167">
        <f t="shared" si="10"/>
        <v>41930354361.854637</v>
      </c>
      <c r="Q167">
        <f t="shared" si="11"/>
        <v>97.5</v>
      </c>
      <c r="R167">
        <f>K167*$I$12*$B$6*(1+0.015*K167)^'Balance Controls'!$D$35</f>
        <v>39</v>
      </c>
    </row>
    <row r="168" spans="11:18" x14ac:dyDescent="0.3">
      <c r="K168">
        <v>157</v>
      </c>
      <c r="L168" s="6">
        <f t="shared" si="8"/>
        <v>192963490773255.06</v>
      </c>
      <c r="N168" s="13">
        <f t="shared" si="9"/>
        <v>3925</v>
      </c>
      <c r="O168">
        <f t="shared" si="10"/>
        <v>49162672808.472626</v>
      </c>
      <c r="Q168">
        <f t="shared" si="11"/>
        <v>98.125</v>
      </c>
      <c r="R168">
        <f>K168*$I$12*$B$6*(1+0.015*K168)^'Balance Controls'!$D$35</f>
        <v>39.25</v>
      </c>
    </row>
    <row r="169" spans="11:18" x14ac:dyDescent="0.3">
      <c r="K169">
        <v>158</v>
      </c>
      <c r="L169" s="6">
        <f t="shared" si="8"/>
        <v>227696919112440.94</v>
      </c>
      <c r="N169" s="13">
        <f t="shared" si="9"/>
        <v>3950</v>
      </c>
      <c r="O169">
        <f t="shared" si="10"/>
        <v>57644789648.719223</v>
      </c>
      <c r="Q169">
        <f t="shared" si="11"/>
        <v>98.75</v>
      </c>
      <c r="R169">
        <f>K169*$I$12*$B$6*(1+0.015*K169)^'Balance Controls'!$D$35</f>
        <v>39.5</v>
      </c>
    </row>
    <row r="170" spans="11:18" x14ac:dyDescent="0.3">
      <c r="K170">
        <v>159</v>
      </c>
      <c r="L170" s="6">
        <f t="shared" si="8"/>
        <v>268682364552680.34</v>
      </c>
      <c r="N170" s="13">
        <f t="shared" si="9"/>
        <v>3975</v>
      </c>
      <c r="O170">
        <f t="shared" si="10"/>
        <v>67593047686.208893</v>
      </c>
      <c r="Q170">
        <f t="shared" si="11"/>
        <v>99.375</v>
      </c>
      <c r="R170">
        <f>K170*$I$12*$B$6*(1+0.015*K170)^'Balance Controls'!$D$35</f>
        <v>39.75</v>
      </c>
    </row>
    <row r="171" spans="11:18" x14ac:dyDescent="0.3">
      <c r="K171">
        <v>160</v>
      </c>
      <c r="L171" s="6">
        <f t="shared" si="8"/>
        <v>317045190172162.75</v>
      </c>
      <c r="N171" s="13">
        <f t="shared" si="9"/>
        <v>4000</v>
      </c>
      <c r="O171">
        <f t="shared" si="10"/>
        <v>79261297543.04068</v>
      </c>
      <c r="Q171">
        <f t="shared" si="11"/>
        <v>100</v>
      </c>
      <c r="R171">
        <f>K171*$I$12*$B$6*(1+0.015*K171)^'Balance Controls'!$D$35</f>
        <v>40</v>
      </c>
    </row>
    <row r="172" spans="11:18" x14ac:dyDescent="0.3">
      <c r="K172">
        <v>161</v>
      </c>
      <c r="L172" s="6">
        <f t="shared" si="8"/>
        <v>374113324403152.06</v>
      </c>
      <c r="N172" s="13">
        <f t="shared" si="9"/>
        <v>4025</v>
      </c>
      <c r="O172">
        <f t="shared" si="10"/>
        <v>92947409789.602997</v>
      </c>
      <c r="Q172">
        <f t="shared" si="11"/>
        <v>100.625</v>
      </c>
      <c r="R172">
        <f>K172*$I$12*$B$6*(1+0.015*K172)^'Balance Controls'!$D$35</f>
        <v>40.25</v>
      </c>
    </row>
    <row r="173" spans="11:18" x14ac:dyDescent="0.3">
      <c r="K173">
        <v>162</v>
      </c>
      <c r="L173" s="6">
        <f t="shared" si="8"/>
        <v>441453722795719.38</v>
      </c>
      <c r="N173" s="13">
        <f t="shared" si="9"/>
        <v>4050</v>
      </c>
      <c r="O173">
        <f t="shared" si="10"/>
        <v>109000919208.8196</v>
      </c>
      <c r="Q173">
        <f t="shared" si="11"/>
        <v>101.25</v>
      </c>
      <c r="R173">
        <f>K173*$I$12*$B$6*(1+0.015*K173)^'Balance Controls'!$D$35</f>
        <v>40.5</v>
      </c>
    </row>
    <row r="174" spans="11:18" x14ac:dyDescent="0.3">
      <c r="K174">
        <v>163</v>
      </c>
      <c r="L174" s="6">
        <f t="shared" si="8"/>
        <v>520915392898948.81</v>
      </c>
      <c r="N174" s="13">
        <f t="shared" si="9"/>
        <v>4075</v>
      </c>
      <c r="O174">
        <f t="shared" si="10"/>
        <v>127831998257.41075</v>
      </c>
      <c r="Q174">
        <f t="shared" si="11"/>
        <v>101.875</v>
      </c>
      <c r="R174">
        <f>K174*$I$12*$B$6*(1+0.015*K174)^'Balance Controls'!$D$35</f>
        <v>40.75</v>
      </c>
    </row>
    <row r="175" spans="11:18" x14ac:dyDescent="0.3">
      <c r="K175">
        <v>164</v>
      </c>
      <c r="L175" s="6">
        <f t="shared" si="8"/>
        <v>614680163620759.5</v>
      </c>
      <c r="N175" s="13">
        <f t="shared" si="9"/>
        <v>4100</v>
      </c>
      <c r="O175">
        <f t="shared" si="10"/>
        <v>149921991127.01453</v>
      </c>
      <c r="Q175">
        <f t="shared" si="11"/>
        <v>102.5</v>
      </c>
      <c r="R175">
        <f>K175*$I$12*$B$6*(1+0.015*K175)^'Balance Controls'!$D$35</f>
        <v>41</v>
      </c>
    </row>
    <row r="176" spans="11:18" x14ac:dyDescent="0.3">
      <c r="K176">
        <v>165</v>
      </c>
      <c r="L176" s="6">
        <f t="shared" si="8"/>
        <v>725322593072496.25</v>
      </c>
      <c r="N176" s="13">
        <f t="shared" si="9"/>
        <v>4125</v>
      </c>
      <c r="O176">
        <f t="shared" si="10"/>
        <v>175835780138.78696</v>
      </c>
      <c r="Q176">
        <f t="shared" si="11"/>
        <v>103.125</v>
      </c>
      <c r="R176">
        <f>K176*$I$12*$B$6*(1+0.015*K176)^'Balance Controls'!$D$35</f>
        <v>41.25</v>
      </c>
    </row>
    <row r="177" spans="11:18" x14ac:dyDescent="0.3">
      <c r="K177">
        <v>166</v>
      </c>
      <c r="L177" s="6">
        <f t="shared" si="8"/>
        <v>855880659825545.63</v>
      </c>
      <c r="N177" s="13">
        <f t="shared" si="9"/>
        <v>4150</v>
      </c>
      <c r="O177">
        <f t="shared" si="10"/>
        <v>206236303572.42062</v>
      </c>
      <c r="Q177">
        <f t="shared" si="11"/>
        <v>103.75</v>
      </c>
      <c r="R177">
        <f>K177*$I$12*$B$6*(1+0.015*K177)^'Balance Controls'!$D$35</f>
        <v>41.5</v>
      </c>
    </row>
    <row r="178" spans="11:18" x14ac:dyDescent="0.3">
      <c r="K178">
        <v>167</v>
      </c>
      <c r="L178" s="6">
        <f t="shared" si="8"/>
        <v>1009939178594143.8</v>
      </c>
      <c r="N178" s="13">
        <f t="shared" si="9"/>
        <v>4175</v>
      </c>
      <c r="O178">
        <f t="shared" si="10"/>
        <v>241901599663.26797</v>
      </c>
      <c r="Q178">
        <f t="shared" si="11"/>
        <v>104.375</v>
      </c>
      <c r="R178">
        <f>K178*$I$12*$B$6*(1+0.015*K178)^'Balance Controls'!$D$35</f>
        <v>41.75</v>
      </c>
    </row>
    <row r="179" spans="11:18" x14ac:dyDescent="0.3">
      <c r="K179">
        <v>168</v>
      </c>
      <c r="L179" s="6">
        <f t="shared" si="8"/>
        <v>1191728230741089.5</v>
      </c>
      <c r="N179" s="13">
        <f t="shared" si="9"/>
        <v>4200</v>
      </c>
      <c r="O179">
        <f t="shared" si="10"/>
        <v>283744816843.11658</v>
      </c>
      <c r="Q179">
        <f t="shared" si="11"/>
        <v>105</v>
      </c>
      <c r="R179">
        <f>K179*$I$12*$B$6*(1+0.015*K179)^'Balance Controls'!$D$35</f>
        <v>42</v>
      </c>
    </row>
    <row r="180" spans="11:18" x14ac:dyDescent="0.3">
      <c r="K180">
        <v>169</v>
      </c>
      <c r="L180" s="6">
        <f t="shared" si="8"/>
        <v>1406239312274485.5</v>
      </c>
      <c r="N180" s="13">
        <f t="shared" si="9"/>
        <v>4225</v>
      </c>
      <c r="O180">
        <f t="shared" si="10"/>
        <v>332837707047.21552</v>
      </c>
      <c r="Q180">
        <f t="shared" si="11"/>
        <v>105.625</v>
      </c>
      <c r="R180">
        <f>K180*$I$12*$B$6*(1+0.015*K180)^'Balance Controls'!$D$35</f>
        <v>42.25</v>
      </c>
    </row>
    <row r="181" spans="11:18" x14ac:dyDescent="0.3">
      <c r="K181">
        <v>170</v>
      </c>
      <c r="L181" s="6">
        <f t="shared" si="8"/>
        <v>1659362388483892.5</v>
      </c>
      <c r="N181" s="13">
        <f t="shared" si="9"/>
        <v>4250</v>
      </c>
      <c r="O181">
        <f t="shared" si="10"/>
        <v>390438209055.03351</v>
      </c>
      <c r="Q181">
        <f t="shared" si="11"/>
        <v>106.25</v>
      </c>
      <c r="R181">
        <f>K181*$I$12*$B$6*(1+0.015*K181)^'Balance Controls'!$D$35</f>
        <v>42.5</v>
      </c>
    </row>
    <row r="182" spans="11:18" x14ac:dyDescent="0.3">
      <c r="K182">
        <v>171</v>
      </c>
      <c r="L182" s="6">
        <f t="shared" si="8"/>
        <v>1958047618410993.5</v>
      </c>
      <c r="N182" s="13">
        <f t="shared" si="9"/>
        <v>4275</v>
      </c>
      <c r="O182">
        <f t="shared" si="10"/>
        <v>458022834716.02185</v>
      </c>
      <c r="Q182">
        <f t="shared" si="11"/>
        <v>106.875</v>
      </c>
      <c r="R182">
        <f>K182*$I$12*$B$6*(1+0.015*K182)^'Balance Controls'!$D$35</f>
        <v>42.75</v>
      </c>
    </row>
    <row r="183" spans="11:18" x14ac:dyDescent="0.3">
      <c r="K183">
        <v>172</v>
      </c>
      <c r="L183" s="6">
        <f t="shared" si="8"/>
        <v>2310496189724972</v>
      </c>
      <c r="N183" s="13">
        <f t="shared" si="9"/>
        <v>4300</v>
      </c>
      <c r="O183">
        <f t="shared" si="10"/>
        <v>537324695284.8772</v>
      </c>
      <c r="Q183">
        <f t="shared" si="11"/>
        <v>107.5</v>
      </c>
      <c r="R183">
        <f>K183*$I$12*$B$6*(1+0.015*K183)^'Balance Controls'!$D$35</f>
        <v>43</v>
      </c>
    </row>
    <row r="184" spans="11:18" x14ac:dyDescent="0.3">
      <c r="K184">
        <v>173</v>
      </c>
      <c r="L184" s="6">
        <f t="shared" si="8"/>
        <v>2726385503875467</v>
      </c>
      <c r="N184" s="13">
        <f t="shared" si="9"/>
        <v>4325</v>
      </c>
      <c r="O184">
        <f t="shared" si="10"/>
        <v>630378151185.0791</v>
      </c>
      <c r="Q184">
        <f t="shared" si="11"/>
        <v>108.125</v>
      </c>
      <c r="R184">
        <f>K184*$I$12*$B$6*(1+0.015*K184)^'Balance Controls'!$D$35</f>
        <v>43.25</v>
      </c>
    </row>
    <row r="185" spans="11:18" x14ac:dyDescent="0.3">
      <c r="K185">
        <v>174</v>
      </c>
      <c r="L185" s="6">
        <f t="shared" si="8"/>
        <v>3217134894573051</v>
      </c>
      <c r="N185" s="13">
        <f t="shared" si="9"/>
        <v>4350</v>
      </c>
      <c r="O185">
        <f t="shared" si="10"/>
        <v>739571240131.73584</v>
      </c>
      <c r="Q185">
        <f t="shared" si="11"/>
        <v>108.75</v>
      </c>
      <c r="R185">
        <f>K185*$I$12*$B$6*(1+0.015*K185)^'Balance Controls'!$D$35</f>
        <v>43.5</v>
      </c>
    </row>
    <row r="186" spans="11:18" x14ac:dyDescent="0.3">
      <c r="K186">
        <v>175</v>
      </c>
      <c r="L186" s="6">
        <f t="shared" si="8"/>
        <v>3796219175596200</v>
      </c>
      <c r="N186" s="13">
        <f t="shared" si="9"/>
        <v>4375</v>
      </c>
      <c r="O186">
        <f t="shared" si="10"/>
        <v>867707240136.27429</v>
      </c>
      <c r="Q186">
        <f t="shared" si="11"/>
        <v>109.375</v>
      </c>
      <c r="R186">
        <f>K186*$I$12*$B$6*(1+0.015*K186)^'Balance Controls'!$D$35</f>
        <v>43.75</v>
      </c>
    </row>
    <row r="187" spans="11:18" x14ac:dyDescent="0.3">
      <c r="K187">
        <v>176</v>
      </c>
      <c r="L187" s="6">
        <f t="shared" si="8"/>
        <v>4479538627203515.5</v>
      </c>
      <c r="N187" s="13">
        <f t="shared" si="9"/>
        <v>4400</v>
      </c>
      <c r="O187">
        <f t="shared" si="10"/>
        <v>1018076960728.0717</v>
      </c>
      <c r="Q187">
        <f t="shared" si="11"/>
        <v>110</v>
      </c>
      <c r="R187">
        <f>K187*$I$12*$B$6*(1+0.015*K187)^'Balance Controls'!$D$35</f>
        <v>44</v>
      </c>
    </row>
    <row r="188" spans="11:18" x14ac:dyDescent="0.3">
      <c r="K188">
        <v>177</v>
      </c>
      <c r="L188" s="6">
        <f t="shared" si="8"/>
        <v>5285855580100148</v>
      </c>
      <c r="N188" s="13">
        <f t="shared" si="9"/>
        <v>4425</v>
      </c>
      <c r="O188">
        <f t="shared" si="10"/>
        <v>1194543633920.9375</v>
      </c>
      <c r="Q188">
        <f t="shared" si="11"/>
        <v>110.625</v>
      </c>
      <c r="R188">
        <f>K188*$I$12*$B$6*(1+0.015*K188)^'Balance Controls'!$D$35</f>
        <v>44.25</v>
      </c>
    </row>
    <row r="189" spans="11:18" x14ac:dyDescent="0.3">
      <c r="K189">
        <v>178</v>
      </c>
      <c r="L189" s="6">
        <f t="shared" si="8"/>
        <v>6237309584518175</v>
      </c>
      <c r="N189" s="13">
        <f t="shared" si="9"/>
        <v>4450</v>
      </c>
      <c r="O189">
        <f t="shared" si="10"/>
        <v>1401642603262.5112</v>
      </c>
      <c r="Q189">
        <f t="shared" si="11"/>
        <v>111.25</v>
      </c>
      <c r="R189">
        <f>K189*$I$12*$B$6*(1+0.015*K189)^'Balance Controls'!$D$35</f>
        <v>44.5</v>
      </c>
    </row>
    <row r="190" spans="11:18" x14ac:dyDescent="0.3">
      <c r="K190">
        <v>179</v>
      </c>
      <c r="L190" s="6">
        <f t="shared" si="8"/>
        <v>7360025309731445</v>
      </c>
      <c r="N190" s="13">
        <f t="shared" si="9"/>
        <v>4475</v>
      </c>
      <c r="O190">
        <f t="shared" si="10"/>
        <v>1644698393236.0771</v>
      </c>
      <c r="Q190">
        <f t="shared" si="11"/>
        <v>111.875</v>
      </c>
      <c r="R190">
        <f>K190*$I$12*$B$6*(1+0.015*K190)^'Balance Controls'!$D$35</f>
        <v>44.75</v>
      </c>
    </row>
    <row r="191" spans="11:18" x14ac:dyDescent="0.3">
      <c r="K191">
        <v>180</v>
      </c>
      <c r="L191" s="6">
        <f t="shared" si="8"/>
        <v>8684829865483104</v>
      </c>
      <c r="N191" s="13">
        <f t="shared" si="9"/>
        <v>4500</v>
      </c>
      <c r="O191">
        <f t="shared" si="10"/>
        <v>1929962192329.5786</v>
      </c>
      <c r="Q191">
        <f t="shared" si="11"/>
        <v>112.5</v>
      </c>
      <c r="R191">
        <f>K191*$I$12*$B$6*(1+0.015*K191)^'Balance Controls'!$D$35</f>
        <v>45</v>
      </c>
    </row>
    <row r="192" spans="11:18" x14ac:dyDescent="0.3">
      <c r="K192">
        <v>181</v>
      </c>
      <c r="L192" s="6">
        <f t="shared" si="8"/>
        <v>1.024809924127006E+16</v>
      </c>
      <c r="N192" s="13">
        <f t="shared" si="9"/>
        <v>4525</v>
      </c>
      <c r="O192">
        <f t="shared" si="10"/>
        <v>2264773312987.8584</v>
      </c>
      <c r="Q192">
        <f t="shared" si="11"/>
        <v>113.125</v>
      </c>
      <c r="R192">
        <f>K192*$I$12*$B$6*(1+0.015*K192)^'Balance Controls'!$D$35</f>
        <v>45.25</v>
      </c>
    </row>
    <row r="193" spans="11:18" x14ac:dyDescent="0.3">
      <c r="K193">
        <v>182</v>
      </c>
      <c r="L193" s="6">
        <f t="shared" si="8"/>
        <v>1.2092757104698674E+16</v>
      </c>
      <c r="N193" s="13">
        <f t="shared" si="9"/>
        <v>4550</v>
      </c>
      <c r="O193">
        <f t="shared" si="10"/>
        <v>2657748814219.4888</v>
      </c>
      <c r="Q193">
        <f t="shared" si="11"/>
        <v>113.75</v>
      </c>
      <c r="R193">
        <f>K193*$I$12*$B$6*(1+0.015*K193)^'Balance Controls'!$D$35</f>
        <v>45.5</v>
      </c>
    </row>
    <row r="194" spans="11:18" x14ac:dyDescent="0.3">
      <c r="K194">
        <v>183</v>
      </c>
      <c r="L194" s="6">
        <f t="shared" si="8"/>
        <v>1.4269453383544434E+16</v>
      </c>
      <c r="N194" s="13">
        <f t="shared" si="9"/>
        <v>4575</v>
      </c>
      <c r="O194">
        <f t="shared" si="10"/>
        <v>3119006204053.4282</v>
      </c>
      <c r="Q194">
        <f t="shared" si="11"/>
        <v>114.375</v>
      </c>
      <c r="R194">
        <f>K194*$I$12*$B$6*(1+0.015*K194)^'Balance Controls'!$D$35</f>
        <v>45.75</v>
      </c>
    </row>
    <row r="195" spans="11:18" x14ac:dyDescent="0.3">
      <c r="K195">
        <v>184</v>
      </c>
      <c r="L195" s="6">
        <f t="shared" si="8"/>
        <v>1.6837954992582432E+16</v>
      </c>
      <c r="N195" s="13">
        <f t="shared" si="9"/>
        <v>4600</v>
      </c>
      <c r="O195">
        <f t="shared" si="10"/>
        <v>3660424998387.4854</v>
      </c>
      <c r="Q195">
        <f t="shared" si="11"/>
        <v>115</v>
      </c>
      <c r="R195">
        <f>K195*$I$12*$B$6*(1+0.015*K195)^'Balance Controls'!$D$35</f>
        <v>46</v>
      </c>
    </row>
    <row r="196" spans="11:18" x14ac:dyDescent="0.3">
      <c r="K196">
        <v>185</v>
      </c>
      <c r="L196" s="6">
        <f t="shared" si="8"/>
        <v>1.9868786891247268E+16</v>
      </c>
      <c r="N196" s="13">
        <f t="shared" si="9"/>
        <v>4625</v>
      </c>
      <c r="O196">
        <f t="shared" si="10"/>
        <v>4295953922431.8418</v>
      </c>
      <c r="Q196">
        <f t="shared" si="11"/>
        <v>115.625</v>
      </c>
      <c r="R196">
        <f>K196*$I$12*$B$6*(1+0.015*K196)^'Balance Controls'!$D$35</f>
        <v>46.25</v>
      </c>
    </row>
    <row r="197" spans="11:18" x14ac:dyDescent="0.3">
      <c r="K197">
        <v>186</v>
      </c>
      <c r="L197" s="6">
        <f t="shared" si="8"/>
        <v>2.3445168531671776E+16</v>
      </c>
      <c r="N197" s="13">
        <f t="shared" si="9"/>
        <v>4650</v>
      </c>
      <c r="O197">
        <f t="shared" si="10"/>
        <v>5041971727241.2422</v>
      </c>
      <c r="Q197">
        <f t="shared" si="11"/>
        <v>116.25</v>
      </c>
      <c r="R197">
        <f>K197*$I$12*$B$6*(1+0.015*K197)^'Balance Controls'!$D$35</f>
        <v>46.5</v>
      </c>
    </row>
    <row r="198" spans="11:18" x14ac:dyDescent="0.3">
      <c r="K198">
        <v>187</v>
      </c>
      <c r="L198" s="6">
        <f t="shared" si="8"/>
        <v>2.76652988673727E+16</v>
      </c>
      <c r="N198" s="13">
        <f t="shared" si="9"/>
        <v>4675</v>
      </c>
      <c r="O198">
        <f t="shared" si="10"/>
        <v>5917710987673.3047</v>
      </c>
      <c r="Q198">
        <f t="shared" si="11"/>
        <v>116.875</v>
      </c>
      <c r="R198">
        <f>K198*$I$12*$B$6*(1+0.015*K198)^'Balance Controls'!$D$35</f>
        <v>46.75</v>
      </c>
    </row>
    <row r="199" spans="11:18" x14ac:dyDescent="0.3">
      <c r="K199">
        <v>188</v>
      </c>
      <c r="L199" s="6">
        <f t="shared" si="8"/>
        <v>3.2645052663499776E+16</v>
      </c>
      <c r="N199" s="13">
        <f t="shared" si="9"/>
        <v>4700</v>
      </c>
      <c r="O199">
        <f t="shared" si="10"/>
        <v>6945755885851.0166</v>
      </c>
      <c r="Q199">
        <f t="shared" si="11"/>
        <v>117.5</v>
      </c>
      <c r="R199">
        <f>K199*$I$12*$B$6*(1+0.015*K199)^'Balance Controls'!$D$35</f>
        <v>47</v>
      </c>
    </row>
    <row r="200" spans="11:18" x14ac:dyDescent="0.3">
      <c r="K200">
        <v>189</v>
      </c>
      <c r="L200" s="6">
        <f t="shared" si="8"/>
        <v>3.8521162142929736E+16</v>
      </c>
      <c r="N200" s="13">
        <f t="shared" si="9"/>
        <v>4725</v>
      </c>
      <c r="O200">
        <f t="shared" si="10"/>
        <v>8152626908556.5576</v>
      </c>
      <c r="Q200">
        <f t="shared" si="11"/>
        <v>118.125</v>
      </c>
      <c r="R200">
        <f>K200*$I$12*$B$6*(1+0.015*K200)^'Balance Controls'!$D$35</f>
        <v>47.25</v>
      </c>
    </row>
    <row r="201" spans="11:18" x14ac:dyDescent="0.3">
      <c r="K201">
        <v>190</v>
      </c>
      <c r="L201" s="6">
        <f t="shared" si="8"/>
        <v>4.5454971328657088E+16</v>
      </c>
      <c r="N201" s="13">
        <f t="shared" si="9"/>
        <v>4750</v>
      </c>
      <c r="O201">
        <f t="shared" si="10"/>
        <v>9569467648138.334</v>
      </c>
      <c r="Q201">
        <f t="shared" si="11"/>
        <v>118.75</v>
      </c>
      <c r="R201">
        <f>K201*$I$12*$B$6*(1+0.015*K201)^'Balance Controls'!$D$35</f>
        <v>47.5</v>
      </c>
    </row>
    <row r="202" spans="11:18" x14ac:dyDescent="0.3">
      <c r="K202">
        <v>191</v>
      </c>
      <c r="L202" s="6">
        <f t="shared" si="8"/>
        <v>5.363686616781536E+16</v>
      </c>
      <c r="N202" s="13">
        <f t="shared" si="9"/>
        <v>4775</v>
      </c>
      <c r="O202">
        <f t="shared" si="10"/>
        <v>11232851553469.186</v>
      </c>
      <c r="Q202">
        <f t="shared" si="11"/>
        <v>119.375</v>
      </c>
      <c r="R202">
        <f>K202*$I$12*$B$6*(1+0.015*K202)^'Balance Controls'!$D$35</f>
        <v>47.75</v>
      </c>
    </row>
    <row r="203" spans="11:18" x14ac:dyDescent="0.3">
      <c r="K203">
        <v>192</v>
      </c>
      <c r="L203" s="6">
        <f t="shared" ref="L203:L266" si="12">$I$6*($I$7^K203)</f>
        <v>6.329150207802212E+16</v>
      </c>
      <c r="N203" s="13">
        <f t="shared" ref="N203:N266" si="13">K203*$I$8*$B$10</f>
        <v>4800</v>
      </c>
      <c r="O203">
        <f t="shared" ref="O203:O266" si="14">L203/N203</f>
        <v>13185729599587.941</v>
      </c>
      <c r="Q203">
        <f t="shared" ref="Q203:Q266" si="15">K203*$I$11*$B$5</f>
        <v>120</v>
      </c>
      <c r="R203">
        <f>K203*$I$12*$B$6*(1+0.015*K203)^'Balance Controls'!$D$35</f>
        <v>48</v>
      </c>
    </row>
    <row r="204" spans="11:18" x14ac:dyDescent="0.3">
      <c r="K204">
        <v>193</v>
      </c>
      <c r="L204" s="6">
        <f t="shared" si="12"/>
        <v>7.4683972452066096E+16</v>
      </c>
      <c r="N204" s="13">
        <f t="shared" si="13"/>
        <v>4825</v>
      </c>
      <c r="O204">
        <f t="shared" si="14"/>
        <v>15478543513381.574</v>
      </c>
      <c r="Q204">
        <f t="shared" si="15"/>
        <v>120.625</v>
      </c>
      <c r="R204">
        <f>K204*$I$12*$B$6*(1+0.015*K204)^'Balance Controls'!$D$35</f>
        <v>48.25</v>
      </c>
    </row>
    <row r="205" spans="11:18" x14ac:dyDescent="0.3">
      <c r="K205">
        <v>194</v>
      </c>
      <c r="L205" s="6">
        <f t="shared" si="12"/>
        <v>8.8127087493437984E+16</v>
      </c>
      <c r="N205" s="13">
        <f t="shared" si="13"/>
        <v>4850</v>
      </c>
      <c r="O205">
        <f t="shared" si="14"/>
        <v>18170533503801.645</v>
      </c>
      <c r="Q205">
        <f t="shared" si="15"/>
        <v>121.25</v>
      </c>
      <c r="R205">
        <f>K205*$I$12*$B$6*(1+0.015*K205)^'Balance Controls'!$D$35</f>
        <v>48.5</v>
      </c>
    </row>
    <row r="206" spans="11:18" x14ac:dyDescent="0.3">
      <c r="K206">
        <v>195</v>
      </c>
      <c r="L206" s="6">
        <f t="shared" si="12"/>
        <v>1.0398996324225683E+17</v>
      </c>
      <c r="N206" s="13">
        <f t="shared" si="13"/>
        <v>4875</v>
      </c>
      <c r="O206">
        <f t="shared" si="14"/>
        <v>21331274511232.172</v>
      </c>
      <c r="Q206">
        <f t="shared" si="15"/>
        <v>121.875</v>
      </c>
      <c r="R206">
        <f>K206*$I$12*$B$6*(1+0.015*K206)^'Balance Controls'!$D$35</f>
        <v>48.75</v>
      </c>
    </row>
    <row r="207" spans="11:18" x14ac:dyDescent="0.3">
      <c r="K207">
        <v>196</v>
      </c>
      <c r="L207" s="6">
        <f t="shared" si="12"/>
        <v>1.2270815662586302E+17</v>
      </c>
      <c r="N207" s="13">
        <f t="shared" si="13"/>
        <v>4900</v>
      </c>
      <c r="O207">
        <f t="shared" si="14"/>
        <v>25042480944053.68</v>
      </c>
      <c r="Q207">
        <f t="shared" si="15"/>
        <v>122.5</v>
      </c>
      <c r="R207">
        <f>K207*$I$12*$B$6*(1+0.015*K207)^'Balance Controls'!$D$35</f>
        <v>49</v>
      </c>
    </row>
    <row r="208" spans="11:18" x14ac:dyDescent="0.3">
      <c r="K208">
        <v>197</v>
      </c>
      <c r="L208" s="6">
        <f t="shared" si="12"/>
        <v>1.4479562481851834E+17</v>
      </c>
      <c r="N208" s="13">
        <f t="shared" si="13"/>
        <v>4925</v>
      </c>
      <c r="O208">
        <f t="shared" si="14"/>
        <v>29400126866704.23</v>
      </c>
      <c r="Q208">
        <f t="shared" si="15"/>
        <v>123.125</v>
      </c>
      <c r="R208">
        <f>K208*$I$12*$B$6*(1+0.015*K208)^'Balance Controls'!$D$35</f>
        <v>49.25</v>
      </c>
    </row>
    <row r="209" spans="11:18" x14ac:dyDescent="0.3">
      <c r="K209">
        <v>198</v>
      </c>
      <c r="L209" s="6">
        <f t="shared" si="12"/>
        <v>1.7085883728585168E+17</v>
      </c>
      <c r="N209" s="13">
        <f t="shared" si="13"/>
        <v>4950</v>
      </c>
      <c r="O209">
        <f t="shared" si="14"/>
        <v>34516936825424.582</v>
      </c>
      <c r="Q209">
        <f t="shared" si="15"/>
        <v>123.75</v>
      </c>
      <c r="R209">
        <f>K209*$I$12*$B$6*(1+0.015*K209)^'Balance Controls'!$D$35</f>
        <v>49.5</v>
      </c>
    </row>
    <row r="210" spans="11:18" x14ac:dyDescent="0.3">
      <c r="K210">
        <v>199</v>
      </c>
      <c r="L210" s="6">
        <f t="shared" si="12"/>
        <v>2.0161342799730496E+17</v>
      </c>
      <c r="N210" s="13">
        <f t="shared" si="13"/>
        <v>4975</v>
      </c>
      <c r="O210">
        <f t="shared" si="14"/>
        <v>40525312160262.305</v>
      </c>
      <c r="Q210">
        <f t="shared" si="15"/>
        <v>124.375</v>
      </c>
      <c r="R210">
        <f>K210*$I$12*$B$6*(1+0.015*K210)^'Balance Controls'!$D$35</f>
        <v>49.75</v>
      </c>
    </row>
    <row r="211" spans="11:18" x14ac:dyDescent="0.3">
      <c r="K211">
        <v>200</v>
      </c>
      <c r="L211" s="6">
        <f t="shared" si="12"/>
        <v>2.3790384503681984E+17</v>
      </c>
      <c r="N211" s="13">
        <f t="shared" si="13"/>
        <v>5000</v>
      </c>
      <c r="O211">
        <f t="shared" si="14"/>
        <v>47580769007363.969</v>
      </c>
      <c r="Q211">
        <f t="shared" si="15"/>
        <v>125</v>
      </c>
      <c r="R211">
        <f>K211*$I$12*$B$6*(1+0.015*K211)^'Balance Controls'!$D$35</f>
        <v>50</v>
      </c>
    </row>
    <row r="212" spans="11:18" x14ac:dyDescent="0.3">
      <c r="K212">
        <v>201</v>
      </c>
      <c r="L212" s="6">
        <f t="shared" si="12"/>
        <v>2.8072653714344742E+17</v>
      </c>
      <c r="N212" s="13">
        <f t="shared" si="13"/>
        <v>5025</v>
      </c>
      <c r="O212">
        <f t="shared" si="14"/>
        <v>55865977540984.563</v>
      </c>
      <c r="Q212">
        <f t="shared" si="15"/>
        <v>125.625</v>
      </c>
      <c r="R212">
        <f>K212*$I$12*$B$6*(1+0.015*K212)^'Balance Controls'!$D$35</f>
        <v>50.25</v>
      </c>
    </row>
    <row r="213" spans="11:18" x14ac:dyDescent="0.3">
      <c r="K213">
        <v>202</v>
      </c>
      <c r="L213" s="6">
        <f t="shared" si="12"/>
        <v>3.3125731382926797E+17</v>
      </c>
      <c r="N213" s="13">
        <f t="shared" si="13"/>
        <v>5050</v>
      </c>
      <c r="O213">
        <f t="shared" si="14"/>
        <v>65595507688963.953</v>
      </c>
      <c r="Q213">
        <f t="shared" si="15"/>
        <v>126.25</v>
      </c>
      <c r="R213">
        <f>K213*$I$12*$B$6*(1+0.015*K213)^'Balance Controls'!$D$35</f>
        <v>50.5</v>
      </c>
    </row>
    <row r="214" spans="11:18" x14ac:dyDescent="0.3">
      <c r="K214">
        <v>203</v>
      </c>
      <c r="L214" s="6">
        <f t="shared" si="12"/>
        <v>3.9088363031853613E+17</v>
      </c>
      <c r="N214" s="13">
        <f t="shared" si="13"/>
        <v>5075</v>
      </c>
      <c r="O214">
        <f t="shared" si="14"/>
        <v>77021404988874.109</v>
      </c>
      <c r="Q214">
        <f t="shared" si="15"/>
        <v>126.875</v>
      </c>
      <c r="R214">
        <f>K214*$I$12*$B$6*(1+0.015*K214)^'Balance Controls'!$D$35</f>
        <v>50.75</v>
      </c>
    </row>
    <row r="215" spans="11:18" x14ac:dyDescent="0.3">
      <c r="K215">
        <v>204</v>
      </c>
      <c r="L215" s="6">
        <f t="shared" si="12"/>
        <v>4.6124268377587258E+17</v>
      </c>
      <c r="N215" s="13">
        <f t="shared" si="13"/>
        <v>5100</v>
      </c>
      <c r="O215">
        <f t="shared" si="14"/>
        <v>90439741916837.766</v>
      </c>
      <c r="Q215">
        <f t="shared" si="15"/>
        <v>127.5</v>
      </c>
      <c r="R215">
        <f>K215*$I$12*$B$6*(1+0.015*K215)^'Balance Controls'!$D$35</f>
        <v>51</v>
      </c>
    </row>
    <row r="216" spans="11:18" x14ac:dyDescent="0.3">
      <c r="K216">
        <v>205</v>
      </c>
      <c r="L216" s="6">
        <f t="shared" si="12"/>
        <v>5.4426636685552954E+17</v>
      </c>
      <c r="N216" s="13">
        <f t="shared" si="13"/>
        <v>5125</v>
      </c>
      <c r="O216">
        <f t="shared" si="14"/>
        <v>106198315484005.77</v>
      </c>
      <c r="Q216">
        <f t="shared" si="15"/>
        <v>128.125</v>
      </c>
      <c r="R216">
        <f>K216*$I$12*$B$6*(1+0.015*K216)^'Balance Controls'!$D$35</f>
        <v>51.25</v>
      </c>
    </row>
    <row r="217" spans="11:18" x14ac:dyDescent="0.3">
      <c r="K217">
        <v>206</v>
      </c>
      <c r="L217" s="6">
        <f t="shared" si="12"/>
        <v>6.4223431288952499E+17</v>
      </c>
      <c r="N217" s="13">
        <f t="shared" si="13"/>
        <v>5150</v>
      </c>
      <c r="O217">
        <f t="shared" si="14"/>
        <v>124705691823208.73</v>
      </c>
      <c r="Q217">
        <f t="shared" si="15"/>
        <v>128.75</v>
      </c>
      <c r="R217">
        <f>K217*$I$12*$B$6*(1+0.015*K217)^'Balance Controls'!$D$35</f>
        <v>51.5</v>
      </c>
    </row>
    <row r="218" spans="11:18" x14ac:dyDescent="0.3">
      <c r="K218">
        <v>207</v>
      </c>
      <c r="L218" s="6">
        <f t="shared" si="12"/>
        <v>7.5783648920963955E+17</v>
      </c>
      <c r="N218" s="13">
        <f t="shared" si="13"/>
        <v>5175</v>
      </c>
      <c r="O218">
        <f t="shared" si="14"/>
        <v>146441833663698.47</v>
      </c>
      <c r="Q218">
        <f t="shared" si="15"/>
        <v>129.375</v>
      </c>
      <c r="R218">
        <f>K218*$I$12*$B$6*(1+0.015*K218)^'Balance Controls'!$D$35</f>
        <v>51.75</v>
      </c>
    </row>
    <row r="219" spans="11:18" x14ac:dyDescent="0.3">
      <c r="K219">
        <v>208</v>
      </c>
      <c r="L219" s="6">
        <f t="shared" si="12"/>
        <v>8.9424705726737434E+17</v>
      </c>
      <c r="N219" s="13">
        <f t="shared" si="13"/>
        <v>5200</v>
      </c>
      <c r="O219">
        <f t="shared" si="14"/>
        <v>171970587936033.53</v>
      </c>
      <c r="Q219">
        <f t="shared" si="15"/>
        <v>130</v>
      </c>
      <c r="R219">
        <f>K219*$I$12*$B$6*(1+0.015*K219)^'Balance Controls'!$D$35</f>
        <v>52</v>
      </c>
    </row>
    <row r="220" spans="11:18" x14ac:dyDescent="0.3">
      <c r="K220">
        <v>209</v>
      </c>
      <c r="L220" s="6">
        <f t="shared" si="12"/>
        <v>1.0552115275755018E+18</v>
      </c>
      <c r="N220" s="13">
        <f t="shared" si="13"/>
        <v>5225</v>
      </c>
      <c r="O220">
        <f t="shared" si="14"/>
        <v>201954359344593.66</v>
      </c>
      <c r="Q220">
        <f t="shared" si="15"/>
        <v>130.625</v>
      </c>
      <c r="R220">
        <f>K220*$I$12*$B$6*(1+0.015*K220)^'Balance Controls'!$D$35</f>
        <v>52.25</v>
      </c>
    </row>
    <row r="221" spans="11:18" x14ac:dyDescent="0.3">
      <c r="K221">
        <v>210</v>
      </c>
      <c r="L221" s="6">
        <f t="shared" si="12"/>
        <v>1.2451496025390922E+18</v>
      </c>
      <c r="N221" s="13">
        <f t="shared" si="13"/>
        <v>5250</v>
      </c>
      <c r="O221">
        <f t="shared" si="14"/>
        <v>237171352864589</v>
      </c>
      <c r="Q221">
        <f t="shared" si="15"/>
        <v>131.25</v>
      </c>
      <c r="R221">
        <f>K221*$I$12*$B$6*(1+0.015*K221)^'Balance Controls'!$D$35</f>
        <v>52.5</v>
      </c>
    </row>
    <row r="222" spans="11:18" x14ac:dyDescent="0.3">
      <c r="K222">
        <v>211</v>
      </c>
      <c r="L222" s="6">
        <f t="shared" si="12"/>
        <v>1.4692765309961285E+18</v>
      </c>
      <c r="N222" s="13">
        <f t="shared" si="13"/>
        <v>5275</v>
      </c>
      <c r="O222">
        <f t="shared" si="14"/>
        <v>278535835259929.56</v>
      </c>
      <c r="Q222">
        <f t="shared" si="15"/>
        <v>131.875</v>
      </c>
      <c r="R222">
        <f>K222*$I$12*$B$6*(1+0.015*K222)^'Balance Controls'!$D$35</f>
        <v>52.75</v>
      </c>
    </row>
    <row r="223" spans="11:18" x14ac:dyDescent="0.3">
      <c r="K223">
        <v>212</v>
      </c>
      <c r="L223" s="6">
        <f t="shared" si="12"/>
        <v>1.7337463065754314E+18</v>
      </c>
      <c r="N223" s="13">
        <f t="shared" si="13"/>
        <v>5300</v>
      </c>
      <c r="O223">
        <f t="shared" si="14"/>
        <v>327121944636873.88</v>
      </c>
      <c r="Q223">
        <f t="shared" si="15"/>
        <v>132.5</v>
      </c>
      <c r="R223">
        <f>K223*$I$12*$B$6*(1+0.015*K223)^'Balance Controls'!$D$35</f>
        <v>53</v>
      </c>
    </row>
    <row r="224" spans="11:18" x14ac:dyDescent="0.3">
      <c r="K224">
        <v>213</v>
      </c>
      <c r="L224" s="6">
        <f t="shared" si="12"/>
        <v>2.0458206417590088E+18</v>
      </c>
      <c r="N224" s="13">
        <f t="shared" si="13"/>
        <v>5325</v>
      </c>
      <c r="O224">
        <f t="shared" si="14"/>
        <v>384191669813898.38</v>
      </c>
      <c r="Q224">
        <f t="shared" si="15"/>
        <v>133.125</v>
      </c>
      <c r="R224">
        <f>K224*$I$12*$B$6*(1+0.015*K224)^'Balance Controls'!$D$35</f>
        <v>53.25</v>
      </c>
    </row>
    <row r="225" spans="11:18" x14ac:dyDescent="0.3">
      <c r="K225">
        <v>214</v>
      </c>
      <c r="L225" s="6">
        <f t="shared" si="12"/>
        <v>2.4140683572756306E+18</v>
      </c>
      <c r="N225" s="13">
        <f t="shared" si="13"/>
        <v>5350</v>
      </c>
      <c r="O225">
        <f t="shared" si="14"/>
        <v>451227730331893.56</v>
      </c>
      <c r="Q225">
        <f t="shared" si="15"/>
        <v>133.75</v>
      </c>
      <c r="R225">
        <f>K225*$I$12*$B$6*(1+0.015*K225)^'Balance Controls'!$D$35</f>
        <v>53.5</v>
      </c>
    </row>
    <row r="226" spans="11:18" x14ac:dyDescent="0.3">
      <c r="K226">
        <v>215</v>
      </c>
      <c r="L226" s="6">
        <f t="shared" si="12"/>
        <v>2.8486006615852442E+18</v>
      </c>
      <c r="N226" s="13">
        <f t="shared" si="13"/>
        <v>5375</v>
      </c>
      <c r="O226">
        <f t="shared" si="14"/>
        <v>529972216108882.63</v>
      </c>
      <c r="Q226">
        <f t="shared" si="15"/>
        <v>134.375</v>
      </c>
      <c r="R226">
        <f>K226*$I$12*$B$6*(1+0.015*K226)^'Balance Controls'!$D$35</f>
        <v>53.75</v>
      </c>
    </row>
    <row r="227" spans="11:18" x14ac:dyDescent="0.3">
      <c r="K227">
        <v>216</v>
      </c>
      <c r="L227" s="6">
        <f t="shared" si="12"/>
        <v>3.3613487806705879E+18</v>
      </c>
      <c r="N227" s="13">
        <f t="shared" si="13"/>
        <v>5400</v>
      </c>
      <c r="O227">
        <f t="shared" si="14"/>
        <v>622471996420479.25</v>
      </c>
      <c r="Q227">
        <f t="shared" si="15"/>
        <v>135</v>
      </c>
      <c r="R227">
        <f>K227*$I$12*$B$6*(1+0.015*K227)^'Balance Controls'!$D$35</f>
        <v>54</v>
      </c>
    </row>
    <row r="228" spans="11:18" x14ac:dyDescent="0.3">
      <c r="K228">
        <v>217</v>
      </c>
      <c r="L228" s="6">
        <f t="shared" si="12"/>
        <v>3.9663915611912934E+18</v>
      </c>
      <c r="N228" s="13">
        <f t="shared" si="13"/>
        <v>5425</v>
      </c>
      <c r="O228">
        <f t="shared" si="14"/>
        <v>731132085012220</v>
      </c>
      <c r="Q228">
        <f t="shared" si="15"/>
        <v>135.625</v>
      </c>
      <c r="R228">
        <f>K228*$I$12*$B$6*(1+0.015*K228)^'Balance Controls'!$D$35</f>
        <v>54.25</v>
      </c>
    </row>
    <row r="229" spans="11:18" x14ac:dyDescent="0.3">
      <c r="K229">
        <v>218</v>
      </c>
      <c r="L229" s="6">
        <f t="shared" si="12"/>
        <v>4.6803420422057247E+18</v>
      </c>
      <c r="N229" s="13">
        <f t="shared" si="13"/>
        <v>5450</v>
      </c>
      <c r="O229">
        <f t="shared" si="14"/>
        <v>858778356368022.88</v>
      </c>
      <c r="Q229">
        <f t="shared" si="15"/>
        <v>136.25</v>
      </c>
      <c r="R229">
        <f>K229*$I$12*$B$6*(1+0.015*K229)^'Balance Controls'!$D$35</f>
        <v>54.5</v>
      </c>
    </row>
    <row r="230" spans="11:18" x14ac:dyDescent="0.3">
      <c r="K230">
        <v>219</v>
      </c>
      <c r="L230" s="6">
        <f t="shared" si="12"/>
        <v>5.5228036098027571E+18</v>
      </c>
      <c r="N230" s="13">
        <f t="shared" si="13"/>
        <v>5475</v>
      </c>
      <c r="O230">
        <f t="shared" si="14"/>
        <v>1008731252932010.4</v>
      </c>
      <c r="Q230">
        <f t="shared" si="15"/>
        <v>136.875</v>
      </c>
      <c r="R230">
        <f>K230*$I$12*$B$6*(1+0.015*K230)^'Balance Controls'!$D$35</f>
        <v>54.75</v>
      </c>
    </row>
    <row r="231" spans="11:18" x14ac:dyDescent="0.3">
      <c r="K231">
        <v>220</v>
      </c>
      <c r="L231" s="6">
        <f t="shared" si="12"/>
        <v>6.5169082595672525E+18</v>
      </c>
      <c r="N231" s="13">
        <f t="shared" si="13"/>
        <v>5500</v>
      </c>
      <c r="O231">
        <f t="shared" si="14"/>
        <v>1184892410830409.5</v>
      </c>
      <c r="Q231">
        <f t="shared" si="15"/>
        <v>137.5</v>
      </c>
      <c r="R231">
        <f>K231*$I$12*$B$6*(1+0.015*K231)^'Balance Controls'!$D$35</f>
        <v>55</v>
      </c>
    </row>
    <row r="232" spans="11:18" x14ac:dyDescent="0.3">
      <c r="K232">
        <v>221</v>
      </c>
      <c r="L232" s="6">
        <f t="shared" si="12"/>
        <v>7.6899517462893568E+18</v>
      </c>
      <c r="N232" s="13">
        <f t="shared" si="13"/>
        <v>5525</v>
      </c>
      <c r="O232">
        <f t="shared" si="14"/>
        <v>1391846469916625.8</v>
      </c>
      <c r="Q232">
        <f t="shared" si="15"/>
        <v>138.125</v>
      </c>
      <c r="R232">
        <f>K232*$I$12*$B$6*(1+0.015*K232)^'Balance Controls'!$D$35</f>
        <v>55.25</v>
      </c>
    </row>
    <row r="233" spans="11:18" x14ac:dyDescent="0.3">
      <c r="K233">
        <v>222</v>
      </c>
      <c r="L233" s="6">
        <f t="shared" si="12"/>
        <v>9.07414306062144E+18</v>
      </c>
      <c r="N233" s="13">
        <f t="shared" si="13"/>
        <v>5550</v>
      </c>
      <c r="O233">
        <f t="shared" si="14"/>
        <v>1634980731643502.8</v>
      </c>
      <c r="Q233">
        <f t="shared" si="15"/>
        <v>138.75</v>
      </c>
      <c r="R233">
        <f>K233*$I$12*$B$6*(1+0.015*K233)^'Balance Controls'!$D$35</f>
        <v>55.5</v>
      </c>
    </row>
    <row r="234" spans="11:18" x14ac:dyDescent="0.3">
      <c r="K234">
        <v>223</v>
      </c>
      <c r="L234" s="6">
        <f t="shared" si="12"/>
        <v>1.0707488811533302E+19</v>
      </c>
      <c r="N234" s="13">
        <f t="shared" si="13"/>
        <v>5575</v>
      </c>
      <c r="O234">
        <f t="shared" si="14"/>
        <v>1920625795790726.8</v>
      </c>
      <c r="Q234">
        <f t="shared" si="15"/>
        <v>139.375</v>
      </c>
      <c r="R234">
        <f>K234*$I$12*$B$6*(1+0.015*K234)^'Balance Controls'!$D$35</f>
        <v>55.75</v>
      </c>
    </row>
    <row r="235" spans="11:18" x14ac:dyDescent="0.3">
      <c r="K235">
        <v>224</v>
      </c>
      <c r="L235" s="6">
        <f t="shared" si="12"/>
        <v>1.2634836797609292E+19</v>
      </c>
      <c r="N235" s="13">
        <f t="shared" si="13"/>
        <v>5600</v>
      </c>
      <c r="O235">
        <f t="shared" si="14"/>
        <v>2256220856715945</v>
      </c>
      <c r="Q235">
        <f t="shared" si="15"/>
        <v>140</v>
      </c>
      <c r="R235">
        <f>K235*$I$12*$B$6*(1+0.015*K235)^'Balance Controls'!$D$35</f>
        <v>56</v>
      </c>
    </row>
    <row r="236" spans="11:18" x14ac:dyDescent="0.3">
      <c r="K236">
        <v>225</v>
      </c>
      <c r="L236" s="6">
        <f t="shared" si="12"/>
        <v>1.4909107421178964E+19</v>
      </c>
      <c r="N236" s="13">
        <f t="shared" si="13"/>
        <v>5625</v>
      </c>
      <c r="O236">
        <f t="shared" si="14"/>
        <v>2650507985987371.5</v>
      </c>
      <c r="Q236">
        <f t="shared" si="15"/>
        <v>140.625</v>
      </c>
      <c r="R236">
        <f>K236*$I$12*$B$6*(1+0.015*K236)^'Balance Controls'!$D$35</f>
        <v>56.25</v>
      </c>
    </row>
    <row r="237" spans="11:18" x14ac:dyDescent="0.3">
      <c r="K237">
        <v>226</v>
      </c>
      <c r="L237" s="6">
        <f t="shared" si="12"/>
        <v>1.7592746756991177E+19</v>
      </c>
      <c r="N237" s="13">
        <f t="shared" si="13"/>
        <v>5650</v>
      </c>
      <c r="O237">
        <f t="shared" si="14"/>
        <v>3113760487963040</v>
      </c>
      <c r="Q237">
        <f t="shared" si="15"/>
        <v>141.25</v>
      </c>
      <c r="R237">
        <f>K237*$I$12*$B$6*(1+0.015*K237)^'Balance Controls'!$D$35</f>
        <v>56.5</v>
      </c>
    </row>
    <row r="238" spans="11:18" x14ac:dyDescent="0.3">
      <c r="K238">
        <v>227</v>
      </c>
      <c r="L238" s="6">
        <f t="shared" si="12"/>
        <v>2.0759441173249589E+19</v>
      </c>
      <c r="N238" s="13">
        <f t="shared" si="13"/>
        <v>5675</v>
      </c>
      <c r="O238">
        <f t="shared" si="14"/>
        <v>3658051308061601.5</v>
      </c>
      <c r="Q238">
        <f t="shared" si="15"/>
        <v>141.875</v>
      </c>
      <c r="R238">
        <f>K238*$I$12*$B$6*(1+0.015*K238)^'Balance Controls'!$D$35</f>
        <v>56.75</v>
      </c>
    </row>
    <row r="239" spans="11:18" x14ac:dyDescent="0.3">
      <c r="K239">
        <v>228</v>
      </c>
      <c r="L239" s="6">
        <f t="shared" si="12"/>
        <v>2.4496140584434512E+19</v>
      </c>
      <c r="N239" s="13">
        <f t="shared" si="13"/>
        <v>5700</v>
      </c>
      <c r="O239">
        <f t="shared" si="14"/>
        <v>4297568523585002</v>
      </c>
      <c r="Q239">
        <f t="shared" si="15"/>
        <v>142.5</v>
      </c>
      <c r="R239">
        <f>K239*$I$12*$B$6*(1+0.015*K239)^'Balance Controls'!$D$35</f>
        <v>57</v>
      </c>
    </row>
    <row r="240" spans="11:18" x14ac:dyDescent="0.3">
      <c r="K240">
        <v>229</v>
      </c>
      <c r="L240" s="6">
        <f t="shared" si="12"/>
        <v>2.8905445889632719E+19</v>
      </c>
      <c r="N240" s="13">
        <f t="shared" si="13"/>
        <v>5725</v>
      </c>
      <c r="O240">
        <f t="shared" si="14"/>
        <v>5048986181595235</v>
      </c>
      <c r="Q240">
        <f t="shared" si="15"/>
        <v>143.125</v>
      </c>
      <c r="R240">
        <f>K240*$I$12*$B$6*(1+0.015*K240)^'Balance Controls'!$D$35</f>
        <v>57.25</v>
      </c>
    </row>
    <row r="241" spans="11:18" x14ac:dyDescent="0.3">
      <c r="K241">
        <v>230</v>
      </c>
      <c r="L241" s="6">
        <f t="shared" si="12"/>
        <v>3.4108426149766615E+19</v>
      </c>
      <c r="N241" s="13">
        <f t="shared" si="13"/>
        <v>5750</v>
      </c>
      <c r="O241">
        <f t="shared" si="14"/>
        <v>5931900199959411</v>
      </c>
      <c r="Q241">
        <f t="shared" si="15"/>
        <v>143.75</v>
      </c>
      <c r="R241">
        <f>K241*$I$12*$B$6*(1+0.015*K241)^'Balance Controls'!$D$35</f>
        <v>57.5</v>
      </c>
    </row>
    <row r="242" spans="11:18" x14ac:dyDescent="0.3">
      <c r="K242">
        <v>231</v>
      </c>
      <c r="L242" s="6">
        <f t="shared" si="12"/>
        <v>4.0247942856724603E+19</v>
      </c>
      <c r="N242" s="13">
        <f t="shared" si="13"/>
        <v>5775</v>
      </c>
      <c r="O242">
        <f t="shared" si="14"/>
        <v>6969340754411187</v>
      </c>
      <c r="Q242">
        <f t="shared" si="15"/>
        <v>144.375</v>
      </c>
      <c r="R242">
        <f>K242*$I$12*$B$6*(1+0.015*K242)^'Balance Controls'!$D$35</f>
        <v>57.75</v>
      </c>
    </row>
    <row r="243" spans="11:18" x14ac:dyDescent="0.3">
      <c r="K243">
        <v>232</v>
      </c>
      <c r="L243" s="6">
        <f t="shared" si="12"/>
        <v>4.7492572570935026E+19</v>
      </c>
      <c r="N243" s="13">
        <f t="shared" si="13"/>
        <v>5800</v>
      </c>
      <c r="O243">
        <f t="shared" si="14"/>
        <v>8188374581195694</v>
      </c>
      <c r="Q243">
        <f t="shared" si="15"/>
        <v>145</v>
      </c>
      <c r="R243">
        <f>K243*$I$12*$B$6*(1+0.015*K243)^'Balance Controls'!$D$35</f>
        <v>58</v>
      </c>
    </row>
    <row r="244" spans="11:18" x14ac:dyDescent="0.3">
      <c r="K244">
        <v>233</v>
      </c>
      <c r="L244" s="6">
        <f t="shared" si="12"/>
        <v>5.6041235633703322E+19</v>
      </c>
      <c r="N244" s="13">
        <f t="shared" si="13"/>
        <v>5825</v>
      </c>
      <c r="O244">
        <f t="shared" si="14"/>
        <v>9620812984326750</v>
      </c>
      <c r="Q244">
        <f t="shared" si="15"/>
        <v>145.625</v>
      </c>
      <c r="R244">
        <f>K244*$I$12*$B$6*(1+0.015*K244)^'Balance Controls'!$D$35</f>
        <v>58.25</v>
      </c>
    </row>
    <row r="245" spans="11:18" x14ac:dyDescent="0.3">
      <c r="K245">
        <v>234</v>
      </c>
      <c r="L245" s="6">
        <f t="shared" si="12"/>
        <v>6.6128658047769911E+19</v>
      </c>
      <c r="N245" s="13">
        <f t="shared" si="13"/>
        <v>5850</v>
      </c>
      <c r="O245">
        <f t="shared" si="14"/>
        <v>1.13040441107299E+16</v>
      </c>
      <c r="Q245">
        <f t="shared" si="15"/>
        <v>146.25</v>
      </c>
      <c r="R245">
        <f>K245*$I$12*$B$6*(1+0.015*K245)^'Balance Controls'!$D$35</f>
        <v>58.5</v>
      </c>
    </row>
    <row r="246" spans="11:18" x14ac:dyDescent="0.3">
      <c r="K246">
        <v>235</v>
      </c>
      <c r="L246" s="6">
        <f t="shared" si="12"/>
        <v>7.8031816496368501E+19</v>
      </c>
      <c r="N246" s="13">
        <f t="shared" si="13"/>
        <v>5875</v>
      </c>
      <c r="O246">
        <f t="shared" si="14"/>
        <v>1.3282011318530808E+16</v>
      </c>
      <c r="Q246">
        <f t="shared" si="15"/>
        <v>146.875</v>
      </c>
      <c r="R246">
        <f>K246*$I$12*$B$6*(1+0.015*K246)^'Balance Controls'!$D$35</f>
        <v>58.75</v>
      </c>
    </row>
    <row r="247" spans="11:18" x14ac:dyDescent="0.3">
      <c r="K247">
        <v>236</v>
      </c>
      <c r="L247" s="6">
        <f t="shared" si="12"/>
        <v>9.2077543465714811E+19</v>
      </c>
      <c r="N247" s="13">
        <f t="shared" si="13"/>
        <v>5900</v>
      </c>
      <c r="O247">
        <f t="shared" si="14"/>
        <v>1.5606363299273696E+16</v>
      </c>
      <c r="Q247">
        <f t="shared" si="15"/>
        <v>147.5</v>
      </c>
      <c r="R247">
        <f>K247*$I$12*$B$6*(1+0.015*K247)^'Balance Controls'!$D$35</f>
        <v>59</v>
      </c>
    </row>
    <row r="248" spans="11:18" x14ac:dyDescent="0.3">
      <c r="K248">
        <v>237</v>
      </c>
      <c r="L248" s="6">
        <f t="shared" si="12"/>
        <v>1.0865150128954348E+20</v>
      </c>
      <c r="N248" s="13">
        <f t="shared" si="13"/>
        <v>5925</v>
      </c>
      <c r="O248">
        <f t="shared" si="14"/>
        <v>1.8337806124817464E+16</v>
      </c>
      <c r="Q248">
        <f t="shared" si="15"/>
        <v>148.125</v>
      </c>
      <c r="R248">
        <f>K248*$I$12*$B$6*(1+0.015*K248)^'Balance Controls'!$D$35</f>
        <v>59.25</v>
      </c>
    </row>
    <row r="249" spans="11:18" x14ac:dyDescent="0.3">
      <c r="K249">
        <v>238</v>
      </c>
      <c r="L249" s="6">
        <f t="shared" si="12"/>
        <v>1.2820877152166132E+20</v>
      </c>
      <c r="N249" s="13">
        <f t="shared" si="13"/>
        <v>5950</v>
      </c>
      <c r="O249">
        <f t="shared" si="14"/>
        <v>2.1547692692716188E+16</v>
      </c>
      <c r="Q249">
        <f t="shared" si="15"/>
        <v>148.75</v>
      </c>
      <c r="R249">
        <f>K249*$I$12*$B$6*(1+0.015*K249)^'Balance Controls'!$D$35</f>
        <v>59.5</v>
      </c>
    </row>
    <row r="250" spans="11:18" x14ac:dyDescent="0.3">
      <c r="K250">
        <v>239</v>
      </c>
      <c r="L250" s="6">
        <f t="shared" si="12"/>
        <v>1.5128635039556036E+20</v>
      </c>
      <c r="N250" s="13">
        <f t="shared" si="13"/>
        <v>5975</v>
      </c>
      <c r="O250">
        <f t="shared" si="14"/>
        <v>2.5319891279591692E+16</v>
      </c>
      <c r="Q250">
        <f t="shared" si="15"/>
        <v>149.375</v>
      </c>
      <c r="R250">
        <f>K250*$I$12*$B$6*(1+0.015*K250)^'Balance Controls'!$D$35</f>
        <v>59.75</v>
      </c>
    </row>
    <row r="251" spans="11:18" x14ac:dyDescent="0.3">
      <c r="K251">
        <v>240</v>
      </c>
      <c r="L251" s="6">
        <f t="shared" si="12"/>
        <v>1.785178934667612E+20</v>
      </c>
      <c r="N251" s="13">
        <f t="shared" si="13"/>
        <v>6000</v>
      </c>
      <c r="O251">
        <f t="shared" si="14"/>
        <v>2.97529822444602E+16</v>
      </c>
      <c r="Q251">
        <f t="shared" si="15"/>
        <v>150</v>
      </c>
      <c r="R251">
        <f>K251*$I$12*$B$6*(1+0.015*K251)^'Balance Controls'!$D$35</f>
        <v>60</v>
      </c>
    </row>
    <row r="252" spans="11:18" x14ac:dyDescent="0.3">
      <c r="K252">
        <v>241</v>
      </c>
      <c r="L252" s="6">
        <f t="shared" si="12"/>
        <v>2.1065111429077824E+20</v>
      </c>
      <c r="N252" s="13">
        <f t="shared" si="13"/>
        <v>6025</v>
      </c>
      <c r="O252">
        <f t="shared" si="14"/>
        <v>3.496284054618726E+16</v>
      </c>
      <c r="Q252">
        <f t="shared" si="15"/>
        <v>150.625</v>
      </c>
      <c r="R252">
        <f>K252*$I$12*$B$6*(1+0.015*K252)^'Balance Controls'!$D$35</f>
        <v>60.25</v>
      </c>
    </row>
    <row r="253" spans="11:18" x14ac:dyDescent="0.3">
      <c r="K253">
        <v>242</v>
      </c>
      <c r="L253" s="6">
        <f t="shared" si="12"/>
        <v>2.4856831486311829E+20</v>
      </c>
      <c r="N253" s="13">
        <f t="shared" si="13"/>
        <v>6050</v>
      </c>
      <c r="O253">
        <f t="shared" si="14"/>
        <v>4.1085671878201368E+16</v>
      </c>
      <c r="Q253">
        <f t="shared" si="15"/>
        <v>151.25</v>
      </c>
      <c r="R253">
        <f>K253*$I$12*$B$6*(1+0.015*K253)^'Balance Controls'!$D$35</f>
        <v>60.5</v>
      </c>
    </row>
    <row r="254" spans="11:18" x14ac:dyDescent="0.3">
      <c r="K254">
        <v>243</v>
      </c>
      <c r="L254" s="6">
        <f t="shared" si="12"/>
        <v>2.9331061153847948E+20</v>
      </c>
      <c r="N254" s="13">
        <f t="shared" si="13"/>
        <v>6075</v>
      </c>
      <c r="O254">
        <f t="shared" si="14"/>
        <v>4.8281582146251768E+16</v>
      </c>
      <c r="Q254">
        <f t="shared" si="15"/>
        <v>151.875</v>
      </c>
      <c r="R254">
        <f>K254*$I$12*$B$6*(1+0.015*K254)^'Balance Controls'!$D$35</f>
        <v>60.75</v>
      </c>
    </row>
    <row r="255" spans="11:18" x14ac:dyDescent="0.3">
      <c r="K255">
        <v>244</v>
      </c>
      <c r="L255" s="6">
        <f t="shared" si="12"/>
        <v>3.4610652161540581E+20</v>
      </c>
      <c r="N255" s="13">
        <f t="shared" si="13"/>
        <v>6100</v>
      </c>
      <c r="O255">
        <f t="shared" si="14"/>
        <v>5.6738774035312424E+16</v>
      </c>
      <c r="Q255">
        <f t="shared" si="15"/>
        <v>152.5</v>
      </c>
      <c r="R255">
        <f>K255*$I$12*$B$6*(1+0.015*K255)^'Balance Controls'!$D$35</f>
        <v>61</v>
      </c>
    </row>
    <row r="256" spans="11:18" x14ac:dyDescent="0.3">
      <c r="K256">
        <v>245</v>
      </c>
      <c r="L256" s="6">
        <f t="shared" si="12"/>
        <v>4.0840569550617877E+20</v>
      </c>
      <c r="N256" s="13">
        <f t="shared" si="13"/>
        <v>6125</v>
      </c>
      <c r="O256">
        <f t="shared" si="14"/>
        <v>6.667848089896796E+16</v>
      </c>
      <c r="Q256">
        <f t="shared" si="15"/>
        <v>153.125</v>
      </c>
      <c r="R256">
        <f>K256*$I$12*$B$6*(1+0.015*K256)^'Balance Controls'!$D$35</f>
        <v>61.25</v>
      </c>
    </row>
    <row r="257" spans="11:18" x14ac:dyDescent="0.3">
      <c r="K257">
        <v>246</v>
      </c>
      <c r="L257" s="6">
        <f t="shared" si="12"/>
        <v>4.8191872069729098E+20</v>
      </c>
      <c r="N257" s="13">
        <f t="shared" si="13"/>
        <v>6150</v>
      </c>
      <c r="O257">
        <f t="shared" si="14"/>
        <v>7.836076759305544E+16</v>
      </c>
      <c r="Q257">
        <f t="shared" si="15"/>
        <v>153.75</v>
      </c>
      <c r="R257">
        <f>K257*$I$12*$B$6*(1+0.015*K257)^'Balance Controls'!$D$35</f>
        <v>61.5</v>
      </c>
    </row>
    <row r="258" spans="11:18" x14ac:dyDescent="0.3">
      <c r="K258">
        <v>247</v>
      </c>
      <c r="L258" s="6">
        <f t="shared" si="12"/>
        <v>5.6866409042280337E+20</v>
      </c>
      <c r="N258" s="13">
        <f t="shared" si="13"/>
        <v>6175</v>
      </c>
      <c r="O258">
        <f t="shared" si="14"/>
        <v>9.2091350675757632E+16</v>
      </c>
      <c r="Q258">
        <f t="shared" si="15"/>
        <v>154.375</v>
      </c>
      <c r="R258">
        <f>K258*$I$12*$B$6*(1+0.015*K258)^'Balance Controls'!$D$35</f>
        <v>61.75</v>
      </c>
    </row>
    <row r="259" spans="11:18" x14ac:dyDescent="0.3">
      <c r="K259">
        <v>248</v>
      </c>
      <c r="L259" s="6">
        <f t="shared" si="12"/>
        <v>6.7102362669890798E+20</v>
      </c>
      <c r="N259" s="13">
        <f t="shared" si="13"/>
        <v>6200</v>
      </c>
      <c r="O259">
        <f t="shared" si="14"/>
        <v>1.0822961720950128E+17</v>
      </c>
      <c r="Q259">
        <f t="shared" si="15"/>
        <v>155</v>
      </c>
      <c r="R259">
        <f>K259*$I$12*$B$6*(1+0.015*K259)^'Balance Controls'!$D$35</f>
        <v>62</v>
      </c>
    </row>
    <row r="260" spans="11:18" x14ac:dyDescent="0.3">
      <c r="K260">
        <v>249</v>
      </c>
      <c r="L260" s="6">
        <f t="shared" si="12"/>
        <v>7.9180787950471139E+20</v>
      </c>
      <c r="N260" s="13">
        <f t="shared" si="13"/>
        <v>6225</v>
      </c>
      <c r="O260">
        <f t="shared" si="14"/>
        <v>1.2719805293248376E+17</v>
      </c>
      <c r="Q260">
        <f t="shared" si="15"/>
        <v>155.625</v>
      </c>
      <c r="R260">
        <f>K260*$I$12*$B$6*(1+0.015*K260)^'Balance Controls'!$D$35</f>
        <v>62.25</v>
      </c>
    </row>
    <row r="261" spans="11:18" x14ac:dyDescent="0.3">
      <c r="K261">
        <v>250</v>
      </c>
      <c r="L261" s="6">
        <f t="shared" si="12"/>
        <v>9.3433329781555934E+20</v>
      </c>
      <c r="N261" s="13">
        <f t="shared" si="13"/>
        <v>6250</v>
      </c>
      <c r="O261">
        <f t="shared" si="14"/>
        <v>1.494933276504895E+17</v>
      </c>
      <c r="Q261">
        <f t="shared" si="15"/>
        <v>156.25</v>
      </c>
      <c r="R261">
        <f>K261*$I$12*$B$6*(1+0.015*K261)^'Balance Controls'!$D$35</f>
        <v>62.5</v>
      </c>
    </row>
    <row r="262" spans="11:18" x14ac:dyDescent="0.3">
      <c r="K262">
        <v>251</v>
      </c>
      <c r="L262" s="6">
        <f t="shared" si="12"/>
        <v>1.1025132914223601E+21</v>
      </c>
      <c r="N262" s="13">
        <f t="shared" si="13"/>
        <v>6275</v>
      </c>
      <c r="O262">
        <f t="shared" si="14"/>
        <v>1.7569932931033629E+17</v>
      </c>
      <c r="Q262">
        <f t="shared" si="15"/>
        <v>156.875</v>
      </c>
      <c r="R262">
        <f>K262*$I$12*$B$6*(1+0.015*K262)^'Balance Controls'!$D$35</f>
        <v>62.75</v>
      </c>
    </row>
    <row r="263" spans="11:18" x14ac:dyDescent="0.3">
      <c r="K263">
        <v>252</v>
      </c>
      <c r="L263" s="6">
        <f t="shared" si="12"/>
        <v>1.3009656838783846E+21</v>
      </c>
      <c r="N263" s="13">
        <f t="shared" si="13"/>
        <v>6300</v>
      </c>
      <c r="O263">
        <f t="shared" si="14"/>
        <v>2.065024895045055E+17</v>
      </c>
      <c r="Q263">
        <f t="shared" si="15"/>
        <v>157.5</v>
      </c>
      <c r="R263">
        <f>K263*$I$12*$B$6*(1+0.015*K263)^'Balance Controls'!$D$35</f>
        <v>63</v>
      </c>
    </row>
    <row r="264" spans="11:18" x14ac:dyDescent="0.3">
      <c r="K264">
        <v>253</v>
      </c>
      <c r="L264" s="6">
        <f t="shared" si="12"/>
        <v>1.5351395069764939E+21</v>
      </c>
      <c r="N264" s="13">
        <f t="shared" si="13"/>
        <v>6325</v>
      </c>
      <c r="O264">
        <f t="shared" si="14"/>
        <v>2.4270980347454448E+17</v>
      </c>
      <c r="Q264">
        <f t="shared" si="15"/>
        <v>158.125</v>
      </c>
      <c r="R264">
        <f>K264*$I$12*$B$6*(1+0.015*K264)^'Balance Controls'!$D$35</f>
        <v>63.25</v>
      </c>
    </row>
    <row r="265" spans="11:18" x14ac:dyDescent="0.3">
      <c r="K265">
        <v>254</v>
      </c>
      <c r="L265" s="6">
        <f t="shared" si="12"/>
        <v>1.8114646182322624E+21</v>
      </c>
      <c r="N265" s="13">
        <f t="shared" si="13"/>
        <v>6350</v>
      </c>
      <c r="O265">
        <f t="shared" si="14"/>
        <v>2.8527001861925392E+17</v>
      </c>
      <c r="Q265">
        <f t="shared" si="15"/>
        <v>158.75</v>
      </c>
      <c r="R265">
        <f>K265*$I$12*$B$6*(1+0.015*K265)^'Balance Controls'!$D$35</f>
        <v>63.5</v>
      </c>
    </row>
    <row r="266" spans="11:18" x14ac:dyDescent="0.3">
      <c r="K266">
        <v>255</v>
      </c>
      <c r="L266" s="6">
        <f t="shared" si="12"/>
        <v>2.1375282495140699E+21</v>
      </c>
      <c r="N266" s="13">
        <f t="shared" si="13"/>
        <v>6375</v>
      </c>
      <c r="O266">
        <f t="shared" si="14"/>
        <v>3.3529854894338349E+17</v>
      </c>
      <c r="Q266">
        <f t="shared" si="15"/>
        <v>159.375</v>
      </c>
      <c r="R266">
        <f>K266*$I$12*$B$6*(1+0.015*K266)^'Balance Controls'!$D$35</f>
        <v>63.75</v>
      </c>
    </row>
    <row r="267" spans="11:18" x14ac:dyDescent="0.3">
      <c r="K267">
        <v>256</v>
      </c>
      <c r="L267" s="6">
        <f t="shared" ref="L267:L330" si="16">$I$6*($I$7^K267)</f>
        <v>2.522283334426602E+21</v>
      </c>
      <c r="N267" s="13">
        <f t="shared" ref="N267:N331" si="17">K267*$I$8*$B$10</f>
        <v>6400</v>
      </c>
      <c r="O267">
        <f t="shared" ref="O267:O330" si="18">L267/N267</f>
        <v>3.9410677100415654E+17</v>
      </c>
      <c r="Q267">
        <f t="shared" ref="Q267:Q331" si="19">K267*$I$11*$B$5</f>
        <v>160</v>
      </c>
      <c r="R267">
        <f>K267*$I$12*$B$6*(1+0.015*K267)^'Balance Controls'!$D$35</f>
        <v>64</v>
      </c>
    </row>
    <row r="268" spans="11:18" x14ac:dyDescent="0.3">
      <c r="K268">
        <v>257</v>
      </c>
      <c r="L268" s="6">
        <f t="shared" si="16"/>
        <v>2.9762943346233904E+21</v>
      </c>
      <c r="N268" s="13">
        <f t="shared" si="17"/>
        <v>6425</v>
      </c>
      <c r="O268">
        <f t="shared" si="18"/>
        <v>4.6323647231492454E+17</v>
      </c>
      <c r="Q268">
        <f t="shared" si="19"/>
        <v>160.625</v>
      </c>
      <c r="R268">
        <f>K268*$I$12*$B$6*(1+0.015*K268)^'Balance Controls'!$D$35</f>
        <v>64.25</v>
      </c>
    </row>
    <row r="269" spans="11:18" x14ac:dyDescent="0.3">
      <c r="K269">
        <v>258</v>
      </c>
      <c r="L269" s="6">
        <f t="shared" si="16"/>
        <v>3.5120273148555999E+21</v>
      </c>
      <c r="N269" s="13">
        <f t="shared" si="17"/>
        <v>6450</v>
      </c>
      <c r="O269">
        <f t="shared" si="18"/>
        <v>5.4450035889234106E+17</v>
      </c>
      <c r="Q269">
        <f t="shared" si="19"/>
        <v>161.25</v>
      </c>
      <c r="R269">
        <f>K269*$I$12*$B$6*(1+0.015*K269)^'Balance Controls'!$D$35</f>
        <v>64.5</v>
      </c>
    </row>
    <row r="270" spans="11:18" x14ac:dyDescent="0.3">
      <c r="K270">
        <v>259</v>
      </c>
      <c r="L270" s="6">
        <f t="shared" si="16"/>
        <v>4.1441922315296084E+21</v>
      </c>
      <c r="N270" s="13">
        <f t="shared" si="17"/>
        <v>6475</v>
      </c>
      <c r="O270">
        <f t="shared" si="18"/>
        <v>6.4002968826712102E+17</v>
      </c>
      <c r="Q270">
        <f t="shared" si="19"/>
        <v>161.875</v>
      </c>
      <c r="R270">
        <f>K270*$I$12*$B$6*(1+0.015*K270)^'Balance Controls'!$D$35</f>
        <v>64.75</v>
      </c>
    </row>
    <row r="271" spans="11:18" x14ac:dyDescent="0.3">
      <c r="K271">
        <v>260</v>
      </c>
      <c r="L271" s="6">
        <f t="shared" si="16"/>
        <v>4.8901468332049364E+21</v>
      </c>
      <c r="N271" s="13">
        <f t="shared" si="17"/>
        <v>6500</v>
      </c>
      <c r="O271">
        <f t="shared" si="18"/>
        <v>7.523302820315287E+17</v>
      </c>
      <c r="Q271">
        <f t="shared" si="19"/>
        <v>162.5</v>
      </c>
      <c r="R271">
        <f>K271*$I$12*$B$6*(1+0.015*K271)^'Balance Controls'!$D$35</f>
        <v>65</v>
      </c>
    </row>
    <row r="272" spans="11:18" x14ac:dyDescent="0.3">
      <c r="K272">
        <v>261</v>
      </c>
      <c r="L272" s="6">
        <f t="shared" si="16"/>
        <v>5.7703732631818249E+21</v>
      </c>
      <c r="N272" s="13">
        <f t="shared" si="17"/>
        <v>6525</v>
      </c>
      <c r="O272">
        <f t="shared" si="18"/>
        <v>8.8434839282480077E+17</v>
      </c>
      <c r="Q272">
        <f t="shared" si="19"/>
        <v>163.125</v>
      </c>
      <c r="R272">
        <f>K272*$I$12*$B$6*(1+0.015*K272)^'Balance Controls'!$D$35</f>
        <v>65.25</v>
      </c>
    </row>
    <row r="273" spans="11:18" x14ac:dyDescent="0.3">
      <c r="K273">
        <v>262</v>
      </c>
      <c r="L273" s="6">
        <f t="shared" si="16"/>
        <v>6.8090404505545542E+21</v>
      </c>
      <c r="N273" s="13">
        <f t="shared" si="17"/>
        <v>6550</v>
      </c>
      <c r="O273">
        <f t="shared" si="18"/>
        <v>1.0395481603900083E+18</v>
      </c>
      <c r="Q273">
        <f t="shared" si="19"/>
        <v>163.75</v>
      </c>
      <c r="R273">
        <f>K273*$I$12*$B$6*(1+0.015*K273)^'Balance Controls'!$D$35</f>
        <v>65.5</v>
      </c>
    </row>
    <row r="274" spans="11:18" x14ac:dyDescent="0.3">
      <c r="K274">
        <v>263</v>
      </c>
      <c r="L274" s="6">
        <f t="shared" si="16"/>
        <v>8.0346677316543735E+21</v>
      </c>
      <c r="N274" s="13">
        <f t="shared" si="17"/>
        <v>6575</v>
      </c>
      <c r="O274">
        <f t="shared" si="18"/>
        <v>1.2220026968295626E+18</v>
      </c>
      <c r="Q274">
        <f t="shared" si="19"/>
        <v>164.375</v>
      </c>
      <c r="R274">
        <f>K274*$I$12*$B$6*(1+0.015*K274)^'Balance Controls'!$D$35</f>
        <v>65.75</v>
      </c>
    </row>
    <row r="275" spans="11:18" x14ac:dyDescent="0.3">
      <c r="K275">
        <v>264</v>
      </c>
      <c r="L275" s="6">
        <f t="shared" si="16"/>
        <v>9.4809079233521595E+21</v>
      </c>
      <c r="N275" s="13">
        <f t="shared" si="17"/>
        <v>6600</v>
      </c>
      <c r="O275">
        <f t="shared" si="18"/>
        <v>1.436501200507903E+18</v>
      </c>
      <c r="Q275">
        <f t="shared" si="19"/>
        <v>165</v>
      </c>
      <c r="R275">
        <f>K275*$I$12*$B$6*(1+0.015*K275)^'Balance Controls'!$D$35</f>
        <v>66</v>
      </c>
    </row>
    <row r="276" spans="11:18" x14ac:dyDescent="0.3">
      <c r="K276">
        <v>265</v>
      </c>
      <c r="L276" s="6">
        <f t="shared" si="16"/>
        <v>1.1187471349555548E+22</v>
      </c>
      <c r="N276" s="13">
        <f t="shared" si="17"/>
        <v>6625</v>
      </c>
      <c r="O276">
        <f t="shared" si="18"/>
        <v>1.6886749206876298E+18</v>
      </c>
      <c r="Q276">
        <f t="shared" si="19"/>
        <v>165.625</v>
      </c>
      <c r="R276">
        <f>K276*$I$12*$B$6*(1+0.015*K276)^'Balance Controls'!$D$35</f>
        <v>66.25</v>
      </c>
    </row>
    <row r="277" spans="11:18" x14ac:dyDescent="0.3">
      <c r="K277">
        <v>266</v>
      </c>
      <c r="L277" s="6">
        <f t="shared" si="16"/>
        <v>1.3201216192475545E+22</v>
      </c>
      <c r="N277" s="13">
        <f t="shared" si="17"/>
        <v>6650</v>
      </c>
      <c r="O277">
        <f t="shared" si="18"/>
        <v>1.9851452921015857E+18</v>
      </c>
      <c r="Q277">
        <f t="shared" si="19"/>
        <v>166.25</v>
      </c>
      <c r="R277">
        <f>K277*$I$12*$B$6*(1+0.015*K277)^'Balance Controls'!$D$35</f>
        <v>66.5</v>
      </c>
    </row>
    <row r="278" spans="11:18" x14ac:dyDescent="0.3">
      <c r="K278">
        <v>267</v>
      </c>
      <c r="L278" s="6">
        <f t="shared" si="16"/>
        <v>1.5577435107121143E+22</v>
      </c>
      <c r="N278" s="13">
        <f t="shared" si="17"/>
        <v>6675</v>
      </c>
      <c r="O278">
        <f t="shared" si="18"/>
        <v>2.3336981433889352E+18</v>
      </c>
      <c r="Q278">
        <f t="shared" si="19"/>
        <v>166.875</v>
      </c>
      <c r="R278">
        <f>K278*$I$12*$B$6*(1+0.015*K278)^'Balance Controls'!$D$35</f>
        <v>66.75</v>
      </c>
    </row>
    <row r="279" spans="11:18" x14ac:dyDescent="0.3">
      <c r="K279">
        <v>268</v>
      </c>
      <c r="L279" s="6">
        <f t="shared" si="16"/>
        <v>1.8381373426402947E+22</v>
      </c>
      <c r="N279" s="13">
        <f t="shared" si="17"/>
        <v>6700</v>
      </c>
      <c r="O279">
        <f t="shared" si="18"/>
        <v>2.7434885711049175E+18</v>
      </c>
      <c r="Q279">
        <f t="shared" si="19"/>
        <v>167.5</v>
      </c>
      <c r="R279">
        <f>K279*$I$12*$B$6*(1+0.015*K279)^'Balance Controls'!$D$35</f>
        <v>67</v>
      </c>
    </row>
    <row r="280" spans="11:18" x14ac:dyDescent="0.3">
      <c r="K280">
        <v>269</v>
      </c>
      <c r="L280" s="6">
        <f t="shared" si="16"/>
        <v>2.1690020643155479E+22</v>
      </c>
      <c r="N280" s="13">
        <f t="shared" si="17"/>
        <v>6725</v>
      </c>
      <c r="O280">
        <f t="shared" si="18"/>
        <v>3.2252818800231194E+18</v>
      </c>
      <c r="Q280">
        <f t="shared" si="19"/>
        <v>168.125</v>
      </c>
      <c r="R280">
        <f>K280*$I$12*$B$6*(1+0.015*K280)^'Balance Controls'!$D$35</f>
        <v>67.25</v>
      </c>
    </row>
    <row r="281" spans="11:18" x14ac:dyDescent="0.3">
      <c r="K281">
        <v>270</v>
      </c>
      <c r="L281" s="6">
        <f t="shared" si="16"/>
        <v>2.5594224358923465E+22</v>
      </c>
      <c r="N281" s="13">
        <f t="shared" si="17"/>
        <v>6750</v>
      </c>
      <c r="O281">
        <f t="shared" si="18"/>
        <v>3.7917369420627354E+18</v>
      </c>
      <c r="Q281">
        <f t="shared" si="19"/>
        <v>168.75</v>
      </c>
      <c r="R281">
        <f>K281*$I$12*$B$6*(1+0.015*K281)^'Balance Controls'!$D$35</f>
        <v>67.5</v>
      </c>
    </row>
    <row r="282" spans="11:18" x14ac:dyDescent="0.3">
      <c r="K282">
        <v>271</v>
      </c>
      <c r="L282" s="6">
        <f t="shared" si="16"/>
        <v>3.020118474352969E+22</v>
      </c>
      <c r="N282" s="13">
        <f t="shared" si="17"/>
        <v>6775</v>
      </c>
      <c r="O282">
        <f t="shared" si="18"/>
        <v>4.4577394455394376E+18</v>
      </c>
      <c r="Q282">
        <f t="shared" si="19"/>
        <v>169.375</v>
      </c>
      <c r="R282">
        <f>K282*$I$12*$B$6*(1+0.015*K282)^'Balance Controls'!$D$35</f>
        <v>67.75</v>
      </c>
    </row>
    <row r="283" spans="11:18" x14ac:dyDescent="0.3">
      <c r="K283">
        <v>272</v>
      </c>
      <c r="L283" s="6">
        <f t="shared" si="16"/>
        <v>3.5637397997365028E+22</v>
      </c>
      <c r="N283" s="13">
        <f t="shared" si="17"/>
        <v>6800</v>
      </c>
      <c r="O283">
        <f t="shared" si="18"/>
        <v>5.2407938231419156E+18</v>
      </c>
      <c r="Q283">
        <f t="shared" si="19"/>
        <v>170</v>
      </c>
      <c r="R283">
        <f>K283*$I$12*$B$6*(1+0.015*K283)^'Balance Controls'!$D$35</f>
        <v>68</v>
      </c>
    </row>
    <row r="284" spans="11:18" x14ac:dyDescent="0.3">
      <c r="K284">
        <v>273</v>
      </c>
      <c r="L284" s="6">
        <f t="shared" si="16"/>
        <v>4.2052129636890733E+22</v>
      </c>
      <c r="N284" s="13">
        <f t="shared" si="17"/>
        <v>6825</v>
      </c>
      <c r="O284">
        <f t="shared" si="18"/>
        <v>6.1614841958814259E+18</v>
      </c>
      <c r="Q284">
        <f t="shared" si="19"/>
        <v>170.625</v>
      </c>
      <c r="R284">
        <f>K284*$I$12*$B$6*(1+0.015*K284)^'Balance Controls'!$D$35</f>
        <v>68.25</v>
      </c>
    </row>
    <row r="285" spans="11:18" x14ac:dyDescent="0.3">
      <c r="K285">
        <v>274</v>
      </c>
      <c r="L285" s="6">
        <f t="shared" si="16"/>
        <v>4.9621512971531061E+22</v>
      </c>
      <c r="N285" s="13">
        <f t="shared" si="17"/>
        <v>6850</v>
      </c>
      <c r="O285">
        <f t="shared" si="18"/>
        <v>7.2440164921943153E+18</v>
      </c>
      <c r="Q285">
        <f t="shared" si="19"/>
        <v>171.25</v>
      </c>
      <c r="R285">
        <f>K285*$I$12*$B$6*(1+0.015*K285)^'Balance Controls'!$D$35</f>
        <v>68.5</v>
      </c>
    </row>
    <row r="286" spans="11:18" x14ac:dyDescent="0.3">
      <c r="K286">
        <v>275</v>
      </c>
      <c r="L286" s="6">
        <f t="shared" si="16"/>
        <v>5.8553385306406645E+22</v>
      </c>
      <c r="N286" s="13">
        <f t="shared" si="17"/>
        <v>6875</v>
      </c>
      <c r="O286">
        <f t="shared" si="18"/>
        <v>8.5168560445682391E+18</v>
      </c>
      <c r="Q286">
        <f t="shared" si="19"/>
        <v>171.875</v>
      </c>
      <c r="R286">
        <f>K286*$I$12*$B$6*(1+0.015*K286)^'Balance Controls'!$D$35</f>
        <v>68.75</v>
      </c>
    </row>
    <row r="287" spans="11:18" x14ac:dyDescent="0.3">
      <c r="K287">
        <v>276</v>
      </c>
      <c r="L287" s="6">
        <f t="shared" si="16"/>
        <v>6.9092994661559839E+22</v>
      </c>
      <c r="N287" s="13">
        <f t="shared" si="17"/>
        <v>6900</v>
      </c>
      <c r="O287">
        <f t="shared" si="18"/>
        <v>1.0013477487182586E+19</v>
      </c>
      <c r="Q287">
        <f t="shared" si="19"/>
        <v>172.5</v>
      </c>
      <c r="R287">
        <f>K287*$I$12*$B$6*(1+0.015*K287)^'Balance Controls'!$D$35</f>
        <v>69</v>
      </c>
    </row>
    <row r="288" spans="11:18" x14ac:dyDescent="0.3">
      <c r="K288">
        <v>277</v>
      </c>
      <c r="L288" s="6">
        <f t="shared" si="16"/>
        <v>8.1529733700640588E+22</v>
      </c>
      <c r="N288" s="13">
        <f t="shared" si="17"/>
        <v>6925</v>
      </c>
      <c r="O288">
        <f t="shared" si="18"/>
        <v>1.1773246743774814E+19</v>
      </c>
      <c r="Q288">
        <f t="shared" si="19"/>
        <v>173.125</v>
      </c>
      <c r="R288">
        <f>K288*$I$12*$B$6*(1+0.015*K288)^'Balance Controls'!$D$35</f>
        <v>69.25</v>
      </c>
    </row>
    <row r="289" spans="11:18" x14ac:dyDescent="0.3">
      <c r="K289">
        <v>278</v>
      </c>
      <c r="L289" s="6">
        <f t="shared" si="16"/>
        <v>9.6205085766755916E+22</v>
      </c>
      <c r="N289" s="13">
        <f t="shared" si="17"/>
        <v>6950</v>
      </c>
      <c r="O289">
        <f t="shared" si="18"/>
        <v>1.3842458383705887E+19</v>
      </c>
      <c r="Q289">
        <f t="shared" si="19"/>
        <v>173.75</v>
      </c>
      <c r="R289">
        <f>K289*$I$12*$B$6*(1+0.015*K289)^'Balance Controls'!$D$35</f>
        <v>69.5</v>
      </c>
    </row>
    <row r="290" spans="11:18" x14ac:dyDescent="0.3">
      <c r="K290">
        <v>279</v>
      </c>
      <c r="L290" s="6">
        <f t="shared" si="16"/>
        <v>1.1352200120477196E+23</v>
      </c>
      <c r="N290" s="13">
        <f t="shared" si="17"/>
        <v>6975</v>
      </c>
      <c r="O290">
        <f t="shared" si="18"/>
        <v>1.6275555728282718E+19</v>
      </c>
      <c r="Q290">
        <f t="shared" si="19"/>
        <v>174.375</v>
      </c>
      <c r="R290">
        <f>K290*$I$12*$B$6*(1+0.015*K290)^'Balance Controls'!$D$35</f>
        <v>69.75</v>
      </c>
    </row>
    <row r="291" spans="11:18" x14ac:dyDescent="0.3">
      <c r="K291">
        <v>280</v>
      </c>
      <c r="L291" s="6">
        <f t="shared" si="16"/>
        <v>1.3395596142163091E+23</v>
      </c>
      <c r="N291" s="13">
        <f t="shared" si="17"/>
        <v>7000</v>
      </c>
      <c r="O291">
        <f t="shared" si="18"/>
        <v>1.9136565917375844E+19</v>
      </c>
      <c r="Q291">
        <f t="shared" si="19"/>
        <v>175</v>
      </c>
      <c r="R291">
        <f>K291*$I$12*$B$6*(1+0.015*K291)^'Balance Controls'!$D$35</f>
        <v>70</v>
      </c>
    </row>
    <row r="292" spans="11:18" x14ac:dyDescent="0.3">
      <c r="K292">
        <v>281</v>
      </c>
      <c r="L292" s="6">
        <f t="shared" si="16"/>
        <v>1.5806803447752447E+23</v>
      </c>
      <c r="N292" s="13">
        <f t="shared" si="17"/>
        <v>7025</v>
      </c>
      <c r="O292">
        <f t="shared" si="18"/>
        <v>2.2500787825982132E+19</v>
      </c>
      <c r="Q292">
        <f t="shared" si="19"/>
        <v>175.625</v>
      </c>
      <c r="R292">
        <f>K292*$I$12*$B$6*(1+0.015*K292)^'Balance Controls'!$D$35</f>
        <v>70.25</v>
      </c>
    </row>
    <row r="293" spans="11:18" x14ac:dyDescent="0.3">
      <c r="K293">
        <v>282</v>
      </c>
      <c r="L293" s="6">
        <f t="shared" si="16"/>
        <v>1.8652028068347884E+23</v>
      </c>
      <c r="N293" s="13">
        <f t="shared" si="17"/>
        <v>7050</v>
      </c>
      <c r="O293">
        <f t="shared" si="18"/>
        <v>2.6456777401911894E+19</v>
      </c>
      <c r="Q293">
        <f t="shared" si="19"/>
        <v>176.25</v>
      </c>
      <c r="R293">
        <f>K293*$I$12*$B$6*(1+0.015*K293)^'Balance Controls'!$D$35</f>
        <v>70.5</v>
      </c>
    </row>
    <row r="294" spans="11:18" x14ac:dyDescent="0.3">
      <c r="K294">
        <v>283</v>
      </c>
      <c r="L294" s="6">
        <f t="shared" si="16"/>
        <v>2.2009393120650507E+23</v>
      </c>
      <c r="N294" s="13">
        <f t="shared" si="17"/>
        <v>7075</v>
      </c>
      <c r="O294">
        <f t="shared" si="18"/>
        <v>3.1108682856043119E+19</v>
      </c>
      <c r="Q294">
        <f t="shared" si="19"/>
        <v>176.875</v>
      </c>
      <c r="R294">
        <f>K294*$I$12*$B$6*(1+0.015*K294)^'Balance Controls'!$D$35</f>
        <v>70.75</v>
      </c>
    </row>
    <row r="295" spans="11:18" x14ac:dyDescent="0.3">
      <c r="K295">
        <v>284</v>
      </c>
      <c r="L295" s="6">
        <f t="shared" si="16"/>
        <v>2.5971083882367593E+23</v>
      </c>
      <c r="N295" s="13">
        <f t="shared" si="17"/>
        <v>7100</v>
      </c>
      <c r="O295">
        <f t="shared" si="18"/>
        <v>3.6578991383616328E+19</v>
      </c>
      <c r="Q295">
        <f t="shared" si="19"/>
        <v>177.5</v>
      </c>
      <c r="R295">
        <f>K295*$I$12*$B$6*(1+0.015*K295)^'Balance Controls'!$D$35</f>
        <v>71</v>
      </c>
    </row>
    <row r="296" spans="11:18" x14ac:dyDescent="0.3">
      <c r="K296">
        <v>285</v>
      </c>
      <c r="L296" s="6">
        <f t="shared" si="16"/>
        <v>3.064587898119376E+23</v>
      </c>
      <c r="N296" s="13">
        <f t="shared" si="17"/>
        <v>7125</v>
      </c>
      <c r="O296">
        <f t="shared" si="18"/>
        <v>4.3011759973605278E+19</v>
      </c>
      <c r="Q296">
        <f t="shared" si="19"/>
        <v>178.125</v>
      </c>
      <c r="R296">
        <f>K296*$I$12*$B$6*(1+0.015*K296)^'Balance Controls'!$D$35</f>
        <v>71.25</v>
      </c>
    </row>
    <row r="297" spans="11:18" x14ac:dyDescent="0.3">
      <c r="K297">
        <v>286</v>
      </c>
      <c r="L297" s="6">
        <f t="shared" si="16"/>
        <v>3.6162137197808638E+23</v>
      </c>
      <c r="N297" s="13">
        <f t="shared" si="17"/>
        <v>7150</v>
      </c>
      <c r="O297">
        <f t="shared" si="18"/>
        <v>5.0576415661270819E+19</v>
      </c>
      <c r="Q297">
        <f t="shared" si="19"/>
        <v>178.75</v>
      </c>
      <c r="R297">
        <f>K297*$I$12*$B$6*(1+0.015*K297)^'Balance Controls'!$D$35</f>
        <v>71.5</v>
      </c>
    </row>
    <row r="298" spans="11:18" x14ac:dyDescent="0.3">
      <c r="K298">
        <v>287</v>
      </c>
      <c r="L298" s="6">
        <f t="shared" si="16"/>
        <v>4.2671321893414188E+23</v>
      </c>
      <c r="N298" s="13">
        <f t="shared" si="17"/>
        <v>7175</v>
      </c>
      <c r="O298">
        <f t="shared" si="18"/>
        <v>5.9472225635420471E+19</v>
      </c>
      <c r="Q298">
        <f t="shared" si="19"/>
        <v>179.375</v>
      </c>
      <c r="R298">
        <f>K298*$I$12*$B$6*(1+0.015*K298)^'Balance Controls'!$D$35</f>
        <v>71.75</v>
      </c>
    </row>
    <row r="299" spans="11:18" x14ac:dyDescent="0.3">
      <c r="K299">
        <v>288</v>
      </c>
      <c r="L299" s="6">
        <f t="shared" si="16"/>
        <v>5.0352159834228731E+23</v>
      </c>
      <c r="N299" s="13">
        <f t="shared" si="17"/>
        <v>7200</v>
      </c>
      <c r="O299">
        <f t="shared" si="18"/>
        <v>6.9933555325317685E+19</v>
      </c>
      <c r="Q299">
        <f t="shared" si="19"/>
        <v>180</v>
      </c>
      <c r="R299">
        <f>K299*$I$12*$B$6*(1+0.015*K299)^'Balance Controls'!$D$35</f>
        <v>72</v>
      </c>
    </row>
    <row r="300" spans="11:18" x14ac:dyDescent="0.3">
      <c r="K300">
        <v>289</v>
      </c>
      <c r="L300" s="6">
        <f t="shared" si="16"/>
        <v>5.9415548604389903E+23</v>
      </c>
      <c r="N300" s="13">
        <f t="shared" si="17"/>
        <v>7225</v>
      </c>
      <c r="O300">
        <f t="shared" si="18"/>
        <v>8.2236053431681532E+19</v>
      </c>
      <c r="Q300">
        <f t="shared" si="19"/>
        <v>180.625</v>
      </c>
      <c r="R300">
        <f>K300*$I$12*$B$6*(1+0.015*K300)^'Balance Controls'!$D$35</f>
        <v>72.25</v>
      </c>
    </row>
    <row r="301" spans="11:18" x14ac:dyDescent="0.3">
      <c r="K301">
        <v>290</v>
      </c>
      <c r="L301" s="6">
        <f t="shared" si="16"/>
        <v>7.0110347353180084E+23</v>
      </c>
      <c r="N301" s="13">
        <f t="shared" si="17"/>
        <v>7250</v>
      </c>
      <c r="O301">
        <f t="shared" si="18"/>
        <v>9.6703927383696671E+19</v>
      </c>
      <c r="Q301">
        <f t="shared" si="19"/>
        <v>181.25</v>
      </c>
      <c r="R301">
        <f>K301*$I$12*$B$6*(1+0.015*K301)^'Balance Controls'!$D$35</f>
        <v>72.5</v>
      </c>
    </row>
    <row r="302" spans="11:18" x14ac:dyDescent="0.3">
      <c r="K302">
        <v>291</v>
      </c>
      <c r="L302" s="6">
        <f t="shared" si="16"/>
        <v>8.2730209876752497E+23</v>
      </c>
      <c r="N302" s="13">
        <f t="shared" si="17"/>
        <v>7275</v>
      </c>
      <c r="O302">
        <f t="shared" si="18"/>
        <v>1.1371850154880069E+20</v>
      </c>
      <c r="Q302">
        <f t="shared" si="19"/>
        <v>181.875</v>
      </c>
      <c r="R302">
        <f>K302*$I$12*$B$6*(1+0.015*K302)^'Balance Controls'!$D$35</f>
        <v>72.75</v>
      </c>
    </row>
    <row r="303" spans="11:18" x14ac:dyDescent="0.3">
      <c r="K303">
        <v>292</v>
      </c>
      <c r="L303" s="6">
        <f t="shared" si="16"/>
        <v>9.7621647654567936E+23</v>
      </c>
      <c r="N303" s="13">
        <f t="shared" si="17"/>
        <v>7300</v>
      </c>
      <c r="O303">
        <f t="shared" si="18"/>
        <v>1.3372828445831224E+20</v>
      </c>
      <c r="Q303">
        <f t="shared" si="19"/>
        <v>182.5</v>
      </c>
      <c r="R303">
        <f>K303*$I$12*$B$6*(1+0.015*K303)^'Balance Controls'!$D$35</f>
        <v>73</v>
      </c>
    </row>
    <row r="304" spans="11:18" x14ac:dyDescent="0.3">
      <c r="K304">
        <v>293</v>
      </c>
      <c r="L304" s="6">
        <f t="shared" si="16"/>
        <v>1.1519354423239015E+24</v>
      </c>
      <c r="N304" s="13">
        <f t="shared" si="17"/>
        <v>7325</v>
      </c>
      <c r="O304">
        <f t="shared" si="18"/>
        <v>1.5726081123875789E+20</v>
      </c>
      <c r="Q304">
        <f t="shared" si="19"/>
        <v>183.125</v>
      </c>
      <c r="R304">
        <f>K304*$I$12*$B$6*(1+0.015*K304)^'Balance Controls'!$D$35</f>
        <v>73.25</v>
      </c>
    </row>
    <row r="305" spans="11:18" x14ac:dyDescent="0.3">
      <c r="K305">
        <v>294</v>
      </c>
      <c r="L305" s="6">
        <f t="shared" si="16"/>
        <v>1.3592838219422039E+24</v>
      </c>
      <c r="N305" s="13">
        <f t="shared" si="17"/>
        <v>7350</v>
      </c>
      <c r="O305">
        <f t="shared" si="18"/>
        <v>1.849365744139053E+20</v>
      </c>
      <c r="Q305">
        <f t="shared" si="19"/>
        <v>183.75</v>
      </c>
      <c r="R305">
        <f>K305*$I$12*$B$6*(1+0.015*K305)^'Balance Controls'!$D$35</f>
        <v>73.5</v>
      </c>
    </row>
    <row r="306" spans="11:18" x14ac:dyDescent="0.3">
      <c r="K306">
        <v>295</v>
      </c>
      <c r="L306" s="6">
        <f t="shared" si="16"/>
        <v>1.6039549098918005E+24</v>
      </c>
      <c r="N306" s="13">
        <f t="shared" si="17"/>
        <v>7375</v>
      </c>
      <c r="O306">
        <f t="shared" si="18"/>
        <v>2.1748541151075261E+20</v>
      </c>
      <c r="Q306">
        <f t="shared" si="19"/>
        <v>184.375</v>
      </c>
      <c r="R306">
        <f>K306*$I$12*$B$6*(1+0.015*K306)^'Balance Controls'!$D$35</f>
        <v>73.75</v>
      </c>
    </row>
    <row r="307" spans="11:18" x14ac:dyDescent="0.3">
      <c r="K307">
        <v>296</v>
      </c>
      <c r="L307" s="6">
        <f t="shared" si="16"/>
        <v>1.8926667936723243E+24</v>
      </c>
      <c r="N307" s="13">
        <f t="shared" si="17"/>
        <v>7400</v>
      </c>
      <c r="O307">
        <f t="shared" si="18"/>
        <v>2.5576578292869248E+20</v>
      </c>
      <c r="Q307">
        <f t="shared" si="19"/>
        <v>185</v>
      </c>
      <c r="R307">
        <f>K307*$I$12*$B$6*(1+0.015*K307)^'Balance Controls'!$D$35</f>
        <v>74</v>
      </c>
    </row>
    <row r="308" spans="11:18" x14ac:dyDescent="0.3">
      <c r="K308">
        <v>297</v>
      </c>
      <c r="L308" s="6">
        <f t="shared" si="16"/>
        <v>2.2333468165333427E+24</v>
      </c>
      <c r="N308" s="13">
        <f t="shared" si="17"/>
        <v>7425</v>
      </c>
      <c r="O308">
        <f t="shared" si="18"/>
        <v>3.0078745003816065E+20</v>
      </c>
      <c r="Q308">
        <f t="shared" si="19"/>
        <v>185.625</v>
      </c>
      <c r="R308">
        <f>K308*$I$12*$B$6*(1+0.015*K308)^'Balance Controls'!$D$35</f>
        <v>74.25</v>
      </c>
    </row>
    <row r="309" spans="11:18" x14ac:dyDescent="0.3">
      <c r="K309">
        <v>298</v>
      </c>
      <c r="L309" s="6">
        <f t="shared" si="16"/>
        <v>2.6353492435093436E+24</v>
      </c>
      <c r="N309" s="13">
        <f t="shared" si="17"/>
        <v>7450</v>
      </c>
      <c r="O309">
        <f t="shared" si="18"/>
        <v>3.5373815349118704E+20</v>
      </c>
      <c r="Q309">
        <f t="shared" si="19"/>
        <v>186.25</v>
      </c>
      <c r="R309">
        <f>K309*$I$12*$B$6*(1+0.015*K309)^'Balance Controls'!$D$35</f>
        <v>74.5</v>
      </c>
    </row>
    <row r="310" spans="11:18" x14ac:dyDescent="0.3">
      <c r="K310">
        <v>299</v>
      </c>
      <c r="L310" s="6">
        <f t="shared" si="16"/>
        <v>3.1097121073410259E+24</v>
      </c>
      <c r="N310" s="13">
        <f t="shared" si="17"/>
        <v>7475</v>
      </c>
      <c r="O310">
        <f t="shared" si="18"/>
        <v>4.1601499763759546E+20</v>
      </c>
      <c r="Q310">
        <f t="shared" si="19"/>
        <v>186.875</v>
      </c>
      <c r="R310">
        <f>K310*$I$12*$B$6*(1+0.015*K310)^'Balance Controls'!$D$35</f>
        <v>74.75</v>
      </c>
    </row>
    <row r="311" spans="11:18" x14ac:dyDescent="0.3">
      <c r="K311">
        <v>300</v>
      </c>
      <c r="L311" s="6">
        <f t="shared" si="16"/>
        <v>3.6694602866624105E+24</v>
      </c>
      <c r="N311" s="13">
        <f t="shared" si="17"/>
        <v>7500</v>
      </c>
      <c r="O311">
        <f t="shared" si="18"/>
        <v>4.892613715549881E+20</v>
      </c>
      <c r="Q311">
        <f t="shared" si="19"/>
        <v>187.5</v>
      </c>
      <c r="R311">
        <f>K311*$I$12*$B$6*(1+0.015*K311)^'Balance Controls'!$D$35</f>
        <v>75</v>
      </c>
    </row>
    <row r="312" spans="11:18" x14ac:dyDescent="0.3">
      <c r="K312">
        <v>301</v>
      </c>
      <c r="L312" s="6">
        <f t="shared" si="16"/>
        <v>4.329963138261644E+24</v>
      </c>
      <c r="N312" s="13">
        <f t="shared" si="17"/>
        <v>7525</v>
      </c>
      <c r="O312">
        <f t="shared" si="18"/>
        <v>5.7541038382214539E+20</v>
      </c>
      <c r="Q312">
        <f t="shared" si="19"/>
        <v>188.125</v>
      </c>
      <c r="R312">
        <f>K312*$I$12*$B$6*(1+0.015*K312)^'Balance Controls'!$D$35</f>
        <v>75.25</v>
      </c>
    </row>
    <row r="313" spans="11:18" x14ac:dyDescent="0.3">
      <c r="K313">
        <v>302</v>
      </c>
      <c r="L313" s="6">
        <f t="shared" si="16"/>
        <v>5.1093565031487402E+24</v>
      </c>
      <c r="N313" s="13">
        <f t="shared" si="17"/>
        <v>7550</v>
      </c>
      <c r="O313">
        <f t="shared" si="18"/>
        <v>6.7673596068195231E+20</v>
      </c>
      <c r="Q313">
        <f t="shared" si="19"/>
        <v>188.75</v>
      </c>
      <c r="R313">
        <f>K313*$I$12*$B$6*(1+0.015*K313)^'Balance Controls'!$D$35</f>
        <v>75.5</v>
      </c>
    </row>
    <row r="314" spans="11:18" x14ac:dyDescent="0.3">
      <c r="K314">
        <v>303</v>
      </c>
      <c r="L314" s="6">
        <f t="shared" si="16"/>
        <v>6.0290406737155133E+24</v>
      </c>
      <c r="N314" s="13">
        <f t="shared" si="17"/>
        <v>7575</v>
      </c>
      <c r="O314">
        <f t="shared" si="18"/>
        <v>7.959129602264704E+20</v>
      </c>
      <c r="Q314">
        <f t="shared" si="19"/>
        <v>189.375</v>
      </c>
      <c r="R314">
        <f>K314*$I$12*$B$6*(1+0.015*K314)^'Balance Controls'!$D$35</f>
        <v>75.75</v>
      </c>
    </row>
    <row r="315" spans="11:18" x14ac:dyDescent="0.3">
      <c r="K315">
        <v>304</v>
      </c>
      <c r="L315" s="6">
        <f t="shared" si="16"/>
        <v>7.1142679949843049E+24</v>
      </c>
      <c r="N315" s="13">
        <f t="shared" si="17"/>
        <v>7600</v>
      </c>
      <c r="O315">
        <f t="shared" si="18"/>
        <v>9.3608789407688216E+20</v>
      </c>
      <c r="Q315">
        <f t="shared" si="19"/>
        <v>190</v>
      </c>
      <c r="R315">
        <f>K315*$I$12*$B$6*(1+0.015*K315)^'Balance Controls'!$D$35</f>
        <v>76</v>
      </c>
    </row>
    <row r="316" spans="11:18" x14ac:dyDescent="0.3">
      <c r="K316">
        <v>305</v>
      </c>
      <c r="L316" s="6">
        <f t="shared" si="16"/>
        <v>8.3948362340814791E+24</v>
      </c>
      <c r="N316" s="13">
        <f t="shared" si="17"/>
        <v>7625</v>
      </c>
      <c r="O316">
        <f t="shared" si="18"/>
        <v>1.1009621290598661E+21</v>
      </c>
      <c r="Q316">
        <f t="shared" si="19"/>
        <v>190.625</v>
      </c>
      <c r="R316">
        <f>K316*$I$12*$B$6*(1+0.015*K316)^'Balance Controls'!$D$35</f>
        <v>76.25</v>
      </c>
    </row>
    <row r="317" spans="11:18" x14ac:dyDescent="0.3">
      <c r="K317">
        <v>306</v>
      </c>
      <c r="L317" s="6">
        <f t="shared" si="16"/>
        <v>9.9059067562161456E+24</v>
      </c>
      <c r="N317" s="13">
        <f t="shared" si="17"/>
        <v>7650</v>
      </c>
      <c r="O317">
        <f t="shared" si="18"/>
        <v>1.2948897720543981E+21</v>
      </c>
      <c r="Q317">
        <f t="shared" si="19"/>
        <v>191.25</v>
      </c>
      <c r="R317">
        <f>K317*$I$12*$B$6*(1+0.015*K317)^'Balance Controls'!$D$35</f>
        <v>76.5</v>
      </c>
    </row>
    <row r="318" spans="11:18" x14ac:dyDescent="0.3">
      <c r="K318">
        <v>307</v>
      </c>
      <c r="L318" s="6">
        <f t="shared" si="16"/>
        <v>1.1688969972335051E+25</v>
      </c>
      <c r="N318" s="13">
        <f t="shared" si="17"/>
        <v>7675</v>
      </c>
      <c r="O318">
        <f t="shared" si="18"/>
        <v>1.5229928302716678E+21</v>
      </c>
      <c r="Q318">
        <f t="shared" si="19"/>
        <v>191.875</v>
      </c>
      <c r="R318">
        <f>K318*$I$12*$B$6*(1+0.015*K318)^'Balance Controls'!$D$35</f>
        <v>76.75</v>
      </c>
    </row>
    <row r="319" spans="11:18" x14ac:dyDescent="0.3">
      <c r="K319">
        <v>308</v>
      </c>
      <c r="L319" s="6">
        <f t="shared" si="16"/>
        <v>1.3792984567355358E+25</v>
      </c>
      <c r="N319" s="13">
        <f t="shared" si="17"/>
        <v>7700</v>
      </c>
      <c r="O319">
        <f t="shared" si="18"/>
        <v>1.7912966970591373E+21</v>
      </c>
      <c r="Q319">
        <f t="shared" si="19"/>
        <v>192.5</v>
      </c>
      <c r="R319">
        <f>K319*$I$12*$B$6*(1+0.015*K319)^'Balance Controls'!$D$35</f>
        <v>77</v>
      </c>
    </row>
    <row r="320" spans="11:18" x14ac:dyDescent="0.3">
      <c r="K320">
        <v>309</v>
      </c>
      <c r="L320" s="6">
        <f t="shared" si="16"/>
        <v>1.6275721789479321E+25</v>
      </c>
      <c r="N320" s="13">
        <f t="shared" si="17"/>
        <v>7725</v>
      </c>
      <c r="O320">
        <f t="shared" si="18"/>
        <v>2.106889552036158E+21</v>
      </c>
      <c r="Q320">
        <f t="shared" si="19"/>
        <v>193.125</v>
      </c>
      <c r="R320">
        <f>K320*$I$12*$B$6*(1+0.015*K320)^'Balance Controls'!$D$35</f>
        <v>77.25</v>
      </c>
    </row>
    <row r="321" spans="11:18" x14ac:dyDescent="0.3">
      <c r="K321">
        <v>310</v>
      </c>
      <c r="L321" s="6">
        <f t="shared" si="16"/>
        <v>1.92053517115856E+25</v>
      </c>
      <c r="N321" s="13">
        <f t="shared" si="17"/>
        <v>7750</v>
      </c>
      <c r="O321">
        <f t="shared" si="18"/>
        <v>2.4781098982691098E+21</v>
      </c>
      <c r="Q321">
        <f t="shared" si="19"/>
        <v>193.75</v>
      </c>
      <c r="R321">
        <f>K321*$I$12*$B$6*(1+0.015*K321)^'Balance Controls'!$D$35</f>
        <v>77.5</v>
      </c>
    </row>
    <row r="322" spans="11:18" x14ac:dyDescent="0.3">
      <c r="K322">
        <v>311</v>
      </c>
      <c r="L322" s="6">
        <f t="shared" si="16"/>
        <v>2.2662315019671004E+25</v>
      </c>
      <c r="N322" s="13">
        <f t="shared" si="17"/>
        <v>7775</v>
      </c>
      <c r="O322">
        <f t="shared" si="18"/>
        <v>2.9147672051023799E+21</v>
      </c>
      <c r="Q322">
        <f t="shared" si="19"/>
        <v>194.375</v>
      </c>
      <c r="R322">
        <f>K322*$I$12*$B$6*(1+0.015*K322)^'Balance Controls'!$D$35</f>
        <v>77.75</v>
      </c>
    </row>
    <row r="323" spans="11:18" x14ac:dyDescent="0.3">
      <c r="K323">
        <v>312</v>
      </c>
      <c r="L323" s="6">
        <f t="shared" si="16"/>
        <v>2.6741531723211783E+25</v>
      </c>
      <c r="N323" s="13">
        <f t="shared" si="17"/>
        <v>7800</v>
      </c>
      <c r="O323">
        <f t="shared" si="18"/>
        <v>3.4284015029758696E+21</v>
      </c>
      <c r="Q323">
        <f t="shared" si="19"/>
        <v>195</v>
      </c>
      <c r="R323">
        <f>K323*$I$12*$B$6*(1+0.015*K323)^'Balance Controls'!$D$35</f>
        <v>78</v>
      </c>
    </row>
    <row r="324" spans="11:18" x14ac:dyDescent="0.3">
      <c r="K324">
        <v>313</v>
      </c>
      <c r="L324" s="6">
        <f t="shared" si="16"/>
        <v>3.1555007433389904E+25</v>
      </c>
      <c r="N324" s="13">
        <f t="shared" si="17"/>
        <v>7825</v>
      </c>
      <c r="O324">
        <f t="shared" si="18"/>
        <v>4.0325888093789015E+21</v>
      </c>
      <c r="Q324">
        <f t="shared" si="19"/>
        <v>195.625</v>
      </c>
      <c r="R324">
        <f>K324*$I$12*$B$6*(1+0.015*K324)^'Balance Controls'!$D$35</f>
        <v>78.25</v>
      </c>
    </row>
    <row r="325" spans="11:18" x14ac:dyDescent="0.3">
      <c r="K325">
        <v>314</v>
      </c>
      <c r="L325" s="6">
        <f t="shared" si="16"/>
        <v>3.7234908771400082E+25</v>
      </c>
      <c r="N325" s="13">
        <f t="shared" si="17"/>
        <v>7850</v>
      </c>
      <c r="O325">
        <f t="shared" si="18"/>
        <v>4.7433004804331316E+21</v>
      </c>
      <c r="Q325">
        <f t="shared" si="19"/>
        <v>196.25</v>
      </c>
      <c r="R325">
        <f>K325*$I$12*$B$6*(1+0.015*K325)^'Balance Controls'!$D$35</f>
        <v>78.5</v>
      </c>
    </row>
    <row r="326" spans="11:18" x14ac:dyDescent="0.3">
      <c r="K326">
        <v>315</v>
      </c>
      <c r="L326" s="6">
        <f t="shared" si="16"/>
        <v>4.3937192350252103E+25</v>
      </c>
      <c r="N326" s="13">
        <f t="shared" si="17"/>
        <v>7875</v>
      </c>
      <c r="O326">
        <f t="shared" si="18"/>
        <v>5.5793260127304255E+21</v>
      </c>
      <c r="Q326">
        <f t="shared" si="19"/>
        <v>196.875</v>
      </c>
      <c r="R326">
        <f>K326*$I$12*$B$6*(1+0.015*K326)^'Balance Controls'!$D$35</f>
        <v>78.75</v>
      </c>
    </row>
    <row r="327" spans="11:18" x14ac:dyDescent="0.3">
      <c r="K327">
        <v>316</v>
      </c>
      <c r="L327" s="6">
        <f t="shared" si="16"/>
        <v>5.1845886973297467E+25</v>
      </c>
      <c r="N327" s="13">
        <f t="shared" si="17"/>
        <v>7900</v>
      </c>
      <c r="O327">
        <f t="shared" si="18"/>
        <v>6.5627705029490461E+21</v>
      </c>
      <c r="Q327">
        <f t="shared" si="19"/>
        <v>197.5</v>
      </c>
      <c r="R327">
        <f>K327*$I$12*$B$6*(1+0.015*K327)^'Balance Controls'!$D$35</f>
        <v>79</v>
      </c>
    </row>
    <row r="328" spans="11:18" x14ac:dyDescent="0.3">
      <c r="K328">
        <v>317</v>
      </c>
      <c r="L328" s="6">
        <f t="shared" si="16"/>
        <v>6.117814662849101E+25</v>
      </c>
      <c r="N328" s="13">
        <f t="shared" si="17"/>
        <v>7925</v>
      </c>
      <c r="O328">
        <f t="shared" si="18"/>
        <v>7.7196399531218939E+21</v>
      </c>
      <c r="Q328">
        <f t="shared" si="19"/>
        <v>198.125</v>
      </c>
      <c r="R328">
        <f>K328*$I$12*$B$6*(1+0.015*K328)^'Balance Controls'!$D$35</f>
        <v>79.25</v>
      </c>
    </row>
    <row r="329" spans="11:18" x14ac:dyDescent="0.3">
      <c r="K329">
        <v>318</v>
      </c>
      <c r="L329" s="6">
        <f t="shared" si="16"/>
        <v>7.2190213021619393E+25</v>
      </c>
      <c r="N329" s="13">
        <f t="shared" si="17"/>
        <v>7950</v>
      </c>
      <c r="O329">
        <f t="shared" si="18"/>
        <v>9.0805299398263387E+21</v>
      </c>
      <c r="Q329">
        <f t="shared" si="19"/>
        <v>198.75</v>
      </c>
      <c r="R329">
        <f>K329*$I$12*$B$6*(1+0.015*K329)^'Balance Controls'!$D$35</f>
        <v>79.5</v>
      </c>
    </row>
    <row r="330" spans="11:18" x14ac:dyDescent="0.3">
      <c r="K330">
        <v>319</v>
      </c>
      <c r="L330" s="6">
        <f t="shared" si="16"/>
        <v>8.5184451365510881E+25</v>
      </c>
      <c r="N330" s="13">
        <f t="shared" si="17"/>
        <v>7975</v>
      </c>
      <c r="O330">
        <f t="shared" si="18"/>
        <v>1.0681435907901052E+22</v>
      </c>
      <c r="Q330">
        <f t="shared" si="19"/>
        <v>199.375</v>
      </c>
      <c r="R330">
        <f>K330*$I$12*$B$6*(1+0.015*K330)^'Balance Controls'!$D$35</f>
        <v>79.75</v>
      </c>
    </row>
    <row r="331" spans="11:18" x14ac:dyDescent="0.3">
      <c r="K331">
        <v>320</v>
      </c>
      <c r="L331" s="6">
        <f t="shared" ref="L331:L394" si="20">$I$6*($I$7^K331)</f>
        <v>1.0051765261130283E+26</v>
      </c>
      <c r="N331" s="13">
        <f t="shared" si="17"/>
        <v>8000</v>
      </c>
      <c r="O331">
        <f t="shared" ref="O331:O394" si="21">L331/N331</f>
        <v>1.2564706576412854E+22</v>
      </c>
      <c r="Q331">
        <f t="shared" si="19"/>
        <v>200</v>
      </c>
      <c r="R331">
        <f>K331*$I$12*$B$6*(1+0.015*K331)^'Balance Controls'!$D$35</f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8</vt:i4>
      </vt:variant>
    </vt:vector>
  </HeadingPairs>
  <TitlesOfParts>
    <vt:vector size="8" baseType="lpstr">
      <vt:lpstr>Balance Controls</vt:lpstr>
      <vt:lpstr>Base rates</vt:lpstr>
      <vt:lpstr>Atomic friction</vt:lpstr>
      <vt:lpstr>Molecular Agitation</vt:lpstr>
      <vt:lpstr>Lava Mites</vt:lpstr>
      <vt:lpstr>Infernal Condensation</vt:lpstr>
      <vt:lpstr>Blad7</vt:lpstr>
      <vt:lpstr>Blad8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Hylander</dc:creator>
  <cp:lastModifiedBy>Jakob Hylander</cp:lastModifiedBy>
  <dcterms:created xsi:type="dcterms:W3CDTF">2026-10-03T06:18:10Z</dcterms:created>
  <dcterms:modified xsi:type="dcterms:W3CDTF">2026-10-08T12:20:37Z</dcterms:modified>
</cp:coreProperties>
</file>